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W\Downloads\"/>
    </mc:Choice>
  </mc:AlternateContent>
  <xr:revisionPtr revIDLastSave="0" documentId="8_{D5C0B586-093C-42E3-A843-2BC19709976E}" xr6:coauthVersionLast="47" xr6:coauthVersionMax="47" xr10:uidLastSave="{00000000-0000-0000-0000-000000000000}"/>
  <bookViews>
    <workbookView xWindow="-28920" yWindow="-7050" windowWidth="29040" windowHeight="15720" activeTab="1" xr2:uid="{00000000-000D-0000-FFFF-FFFF00000000}"/>
  </bookViews>
  <sheets>
    <sheet name="Version" sheetId="13" r:id="rId1"/>
    <sheet name="VMR MSL40" sheetId="15" r:id="rId2"/>
    <sheet name="Column definitions" sheetId="2" r:id="rId3"/>
    <sheet name="Column Values" sheetId="10" r:id="rId4"/>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13" l="1"/>
  <c r="E13" i="13" l="1"/>
  <c r="E7" i="13"/>
</calcChain>
</file>

<file path=xl/sharedStrings.xml><?xml version="1.0" encoding="utf-8"?>
<sst xmlns="http://schemas.openxmlformats.org/spreadsheetml/2006/main" count="795" uniqueCount="335">
  <si>
    <t>Isolate Sort</t>
  </si>
  <si>
    <t>Realm</t>
  </si>
  <si>
    <t>Subrealm</t>
  </si>
  <si>
    <t>Kingdom</t>
  </si>
  <si>
    <t>Subkingdom</t>
  </si>
  <si>
    <t>Phylum</t>
  </si>
  <si>
    <t>Subphylum</t>
  </si>
  <si>
    <t>Class</t>
  </si>
  <si>
    <t>Subclass</t>
  </si>
  <si>
    <t>Order</t>
  </si>
  <si>
    <t>Suborder</t>
  </si>
  <si>
    <t>Family</t>
  </si>
  <si>
    <t>Subfamily</t>
  </si>
  <si>
    <t>Genus</t>
  </si>
  <si>
    <t>Subgenus</t>
  </si>
  <si>
    <t>Species</t>
  </si>
  <si>
    <t>Exemplar or additional isolate</t>
  </si>
  <si>
    <t>Virus name(s)</t>
  </si>
  <si>
    <t>Virus name abbreviation(s)</t>
  </si>
  <si>
    <t>Virus isolate designation</t>
  </si>
  <si>
    <t>Virus GENBANK accession</t>
  </si>
  <si>
    <t>Genome coverage</t>
  </si>
  <si>
    <t>Host source</t>
  </si>
  <si>
    <t>E</t>
  </si>
  <si>
    <t>Coding-complete genome</t>
  </si>
  <si>
    <t>dsDNA</t>
  </si>
  <si>
    <t>archaea</t>
  </si>
  <si>
    <t>Complete genome</t>
  </si>
  <si>
    <t>Partial genome</t>
  </si>
  <si>
    <t>Duplodnaviria</t>
  </si>
  <si>
    <t>Heunggongvirae</t>
  </si>
  <si>
    <t>vertebrates</t>
  </si>
  <si>
    <t>Uroviricota</t>
  </si>
  <si>
    <t>Caudoviricetes</t>
  </si>
  <si>
    <t>bacteria</t>
  </si>
  <si>
    <t>No entry in Genbank</t>
  </si>
  <si>
    <t>A</t>
  </si>
  <si>
    <t>Straboviridae</t>
  </si>
  <si>
    <t>Chrysonvirus</t>
  </si>
  <si>
    <t>Aeromonas phage phiAS5</t>
  </si>
  <si>
    <t>HM452126</t>
  </si>
  <si>
    <t>Cinqassovirus</t>
  </si>
  <si>
    <t>Aeromonas phage Aeh1</t>
  </si>
  <si>
    <t>AY266303</t>
  </si>
  <si>
    <t>Aeromonas phage ah1</t>
  </si>
  <si>
    <t>MG250483</t>
  </si>
  <si>
    <t>Gualtarvirus</t>
  </si>
  <si>
    <t>Morganella phage vB_MmoM_MP1</t>
  </si>
  <si>
    <t>KX078569</t>
  </si>
  <si>
    <t>Jiangsuvirus</t>
  </si>
  <si>
    <t>Pseudomonas phage PspYZU05</t>
  </si>
  <si>
    <t>KY971610</t>
  </si>
  <si>
    <t>Krischvirus</t>
  </si>
  <si>
    <t>Escherichia phage ECD7</t>
  </si>
  <si>
    <t>KY683735</t>
  </si>
  <si>
    <t>Enterobacteria phage GEC-3S</t>
  </si>
  <si>
    <t>HE978309</t>
  </si>
  <si>
    <t>Escherichia phage Phi1</t>
  </si>
  <si>
    <t>EF437941</t>
  </si>
  <si>
    <t>Escherichia phage JSE</t>
  </si>
  <si>
    <t>EU863408</t>
  </si>
  <si>
    <t>Escherichia virus KFS-EC</t>
  </si>
  <si>
    <t>MH560358</t>
  </si>
  <si>
    <t>Escherichia phage RB49</t>
  </si>
  <si>
    <t>AY343333</t>
  </si>
  <si>
    <t>Mylasvirus</t>
  </si>
  <si>
    <t>Vibrio phage nt-1</t>
  </si>
  <si>
    <t>HQ317393</t>
  </si>
  <si>
    <t>Nanhuvirus</t>
  </si>
  <si>
    <t>Cronobacter phage LPCS28</t>
  </si>
  <si>
    <t>OM638103</t>
  </si>
  <si>
    <t>Pseudotevenvirus</t>
  </si>
  <si>
    <t>Cronobacter phage vB_CsaM_GAP161</t>
  </si>
  <si>
    <t>JN882287</t>
  </si>
  <si>
    <t>Citrobacter phage IME-CF2</t>
  </si>
  <si>
    <t>KR869820</t>
  </si>
  <si>
    <t>Cronobacter phage vB_CsaM_leB</t>
  </si>
  <si>
    <t>KX431559</t>
  </si>
  <si>
    <t>Cronobacter phage vB_CsaM_leE</t>
  </si>
  <si>
    <t>KX443552</t>
  </si>
  <si>
    <t>Escherichia phage Lw1</t>
  </si>
  <si>
    <t>KC801932</t>
  </si>
  <si>
    <t>Citrobacter phage Margaery</t>
  </si>
  <si>
    <t>KT381880</t>
  </si>
  <si>
    <t>Citrobacter phage Miller</t>
  </si>
  <si>
    <t>KM236237</t>
  </si>
  <si>
    <t>Escherichia phage RB16</t>
  </si>
  <si>
    <t>HM134276</t>
  </si>
  <si>
    <t>Escherichia phage RB43</t>
  </si>
  <si>
    <t>AY967407</t>
  </si>
  <si>
    <t>Schizotequatrovirus</t>
  </si>
  <si>
    <t>Vibrio phage KVP40</t>
  </si>
  <si>
    <t>AY283928</t>
  </si>
  <si>
    <t>Vibrio phage ValKK3</t>
  </si>
  <si>
    <t>KP671755</t>
  </si>
  <si>
    <t>Vibrio phage VH7D</t>
  </si>
  <si>
    <t>KC131129</t>
  </si>
  <si>
    <t>Slopekvirus</t>
  </si>
  <si>
    <t>Enterobacter phage phiEap-3</t>
  </si>
  <si>
    <t>KT321315</t>
  </si>
  <si>
    <t>Klebsiella phage KP15</t>
  </si>
  <si>
    <t>GU295964</t>
  </si>
  <si>
    <t>Klebsiella phage KP27</t>
  </si>
  <si>
    <t>HQ918180</t>
  </si>
  <si>
    <t>Klebsiella phage Matisse</t>
  </si>
  <si>
    <t>KT001918</t>
  </si>
  <si>
    <t>Escherichia phage phT4A</t>
  </si>
  <si>
    <t>KX130727</t>
  </si>
  <si>
    <t>Tulanevirus</t>
  </si>
  <si>
    <t>Stenotrophomonas phage IME13</t>
  </si>
  <si>
    <t>JX306041</t>
  </si>
  <si>
    <t>Aeromonas phage 50AhydR13PP</t>
  </si>
  <si>
    <t>MH179476</t>
  </si>
  <si>
    <t>Aeromonas phage 60AhydR15PP</t>
  </si>
  <si>
    <t>MH179477</t>
  </si>
  <si>
    <t>Aeromonas phage Aes012</t>
  </si>
  <si>
    <t>JN377895</t>
  </si>
  <si>
    <t>Aeromonas phage Aes508</t>
  </si>
  <si>
    <t>JN377894</t>
  </si>
  <si>
    <t>Aeromonas phage phiAS4</t>
  </si>
  <si>
    <t>HM452125</t>
  </si>
  <si>
    <t>Aeromonas phage AS-gz</t>
  </si>
  <si>
    <t>MF479730</t>
  </si>
  <si>
    <t>Aeromonas phage 25</t>
  </si>
  <si>
    <t>DQ529280</t>
  </si>
  <si>
    <t>ssDNA(+)</t>
  </si>
  <si>
    <t>ssDNA</t>
  </si>
  <si>
    <t>invertebrates</t>
  </si>
  <si>
    <t>ssDNA(+/-)</t>
  </si>
  <si>
    <t>invertebrates, vertebrates</t>
  </si>
  <si>
    <t>ssDNA(-)</t>
  </si>
  <si>
    <t>marine (S)</t>
  </si>
  <si>
    <t>plants</t>
  </si>
  <si>
    <t>protists (S)</t>
  </si>
  <si>
    <t>AA</t>
  </si>
  <si>
    <t>invertebrates, plants</t>
  </si>
  <si>
    <t>fungi</t>
  </si>
  <si>
    <t>sewage (S)</t>
  </si>
  <si>
    <t>ssRNA(+)</t>
  </si>
  <si>
    <t>C</t>
  </si>
  <si>
    <t>dsRNA</t>
  </si>
  <si>
    <t>plants (S)</t>
  </si>
  <si>
    <t>invertebrates (S)</t>
  </si>
  <si>
    <t>protists</t>
  </si>
  <si>
    <t>S</t>
  </si>
  <si>
    <t>V</t>
  </si>
  <si>
    <t>B</t>
  </si>
  <si>
    <t>ssRNA</t>
  </si>
  <si>
    <t>ssRNA(+/-)</t>
  </si>
  <si>
    <t>ssRNA(-)</t>
  </si>
  <si>
    <t>phytobiome (S)</t>
  </si>
  <si>
    <t>soil (S)</t>
  </si>
  <si>
    <t>freshwater (S)</t>
  </si>
  <si>
    <t>W</t>
  </si>
  <si>
    <t>T</t>
  </si>
  <si>
    <t>Y</t>
  </si>
  <si>
    <t>dsDNA-RT</t>
  </si>
  <si>
    <t>ssRNA-RT</t>
  </si>
  <si>
    <t>See corresponding suffixes for the different ranks of satellite nucleic acids, viroids and viriforms in the ICTV Code (https://ictv.global/about/code) sections V, and VI</t>
  </si>
  <si>
    <t>Host/Source</t>
  </si>
  <si>
    <t>Z</t>
  </si>
  <si>
    <t>X</t>
  </si>
  <si>
    <t>U</t>
  </si>
  <si>
    <t>Species Sort</t>
  </si>
  <si>
    <t>Definition</t>
  </si>
  <si>
    <t>Heading</t>
  </si>
  <si>
    <t>Column</t>
  </si>
  <si>
    <t>air (S)</t>
  </si>
  <si>
    <t>vertebrates (S)</t>
  </si>
  <si>
    <t>unknown (S)</t>
  </si>
  <si>
    <t>bacteria, invertebrates (S)</t>
  </si>
  <si>
    <t>bacteria, vertebrates (S)</t>
  </si>
  <si>
    <t>Isolate ID</t>
  </si>
  <si>
    <t>Accessions Link</t>
  </si>
  <si>
    <t>ssRNA(-); ssRNA(+/-)</t>
  </si>
  <si>
    <t>Version:</t>
    <phoneticPr fontId="4" type="noConversion"/>
  </si>
  <si>
    <t>Date</t>
    <phoneticPr fontId="4" type="noConversion"/>
  </si>
  <si>
    <t>Change:</t>
    <phoneticPr fontId="4" type="noConversion"/>
  </si>
  <si>
    <t>Donald Smith</t>
  </si>
  <si>
    <t xml:space="preserve">ICTV internal sort ID of each virus species. </t>
  </si>
  <si>
    <t>ICTV internal sort ID of virus isolates within each species.</t>
  </si>
  <si>
    <t>D - R</t>
  </si>
  <si>
    <t>Realm, Subrealm, Kingdom, Subkingdom, Phylum, Subphylum, Class, Subclass, Order, Suborder, Family, Subfamily, Genus, Subgenus, Species</t>
  </si>
  <si>
    <t>Taxonomic ranks into which virus species are classified.</t>
  </si>
  <si>
    <t>Exemplar (E) or additional (A) isolate chosen by ICTV Study Groups as representative, well-characterised isolates of each species.</t>
  </si>
  <si>
    <t>Commonly used virus name (or names separated by a semi-colon).</t>
  </si>
  <si>
    <t>Commonly used virus name abbreviation (or abbreviations separated by a semi-colon).</t>
  </si>
  <si>
    <t>The designation of that particular virus isolate, variant or strain.</t>
  </si>
  <si>
    <t>Genome coverage of the indicated virus. Possible values are:
- Complete genome
- Coding-complete genome
- Partial genome
- No entry in Genbank</t>
  </si>
  <si>
    <t>The nature of the virus genome packaged into virions. Possible values are:
- dsDNA
- dsDNA-RT
- dsRNA
- ssDNA
- ssDNA(-)
- ssDNA(+)
- ssDNA(+/-)
- ssRNA
- ssRNA-RT
- ssRNA(-)
- ssRNA(+)
- ssRNA(+/-)
- ssRNA(-); ssRNA(+/-)</t>
  </si>
  <si>
    <t>Indicates the known categories of hosts or hosts infected by the virus. The suffix [S] indicates a source from which the virus was isolated. Possible values are:
- air (S)
- archaea
- bacteria
- freshwater (S)
- fungi
- invertebrates
- marine (S)
- phytobiome (S)
- plants
- protists
- sewage (S)
- soil (S)
- unknown (S)
- vertebrates</t>
  </si>
  <si>
    <t>Genome</t>
  </si>
  <si>
    <t>Editor:</t>
  </si>
  <si>
    <t>donald.smith.ictv@gmail.com</t>
  </si>
  <si>
    <t>Send corrections to:</t>
  </si>
  <si>
    <t>The GenBank (nucleotide) accession number (or numbers separted by a semicolon) for that virus isolate. In some cases a range within the accession sequence is specified by a "(startPos.endPos)" suffix.</t>
  </si>
  <si>
    <t>ICTV 2024 Virus Metadata Resource (VMR)</t>
  </si>
  <si>
    <t>MSL40.v1</t>
  </si>
  <si>
    <t>New MSL, #40 including all taxa updates since the 2023 release</t>
  </si>
  <si>
    <t xml:space="preserve">Updated all taxon names to match changes in MSL40. </t>
  </si>
  <si>
    <t xml:space="preserve">Added new isolates included in proposals for MSL40. </t>
  </si>
  <si>
    <t>Pantevenvirales</t>
  </si>
  <si>
    <t>ICTV_ID</t>
  </si>
  <si>
    <t xml:space="preserve">ICTV unique isolate ID for each line of the VMR. This ID will only change if accessions are added or removed from the set of accessions that define the isolate's genome. </t>
  </si>
  <si>
    <t>AB</t>
  </si>
  <si>
    <t>Chrysonvirus as5</t>
  </si>
  <si>
    <t>Cinqassovirus aeh1</t>
  </si>
  <si>
    <t>Cinqassovirus ah1</t>
  </si>
  <si>
    <t>Gualtarvirus mp1</t>
  </si>
  <si>
    <t>Jiangsuvirus pspyzu05</t>
  </si>
  <si>
    <t>Krischvirus ecd7</t>
  </si>
  <si>
    <t>Krischvirus gec3s</t>
  </si>
  <si>
    <t>Krischvirus georgiaone</t>
  </si>
  <si>
    <t>Krischvirus jse</t>
  </si>
  <si>
    <t>Krischvirus kfsec</t>
  </si>
  <si>
    <t>Krischvirus RB49</t>
  </si>
  <si>
    <t>Mylasvirus persius</t>
  </si>
  <si>
    <t>Nanhuvirus LPCS28</t>
  </si>
  <si>
    <t>Pseudotevenvirus gap161</t>
  </si>
  <si>
    <t>Pseudotevenvirus imecf2</t>
  </si>
  <si>
    <t>Pseudotevenvirus leb</t>
  </si>
  <si>
    <t>Pseudotevenvirus lee</t>
  </si>
  <si>
    <t>Pseudotevenvirus lw1</t>
  </si>
  <si>
    <t>Pseudotevenvirus margaery</t>
  </si>
  <si>
    <t>Pseudotevenvirus miller</t>
  </si>
  <si>
    <t>Pseudotevenvirus RB16</t>
  </si>
  <si>
    <t>Pseudotevenvirus RB43</t>
  </si>
  <si>
    <t>Schizotequatrovirus KVP40</t>
  </si>
  <si>
    <t>Schizotequatrovirus valkk3</t>
  </si>
  <si>
    <t>Schizotequatrovirus vh7d</t>
  </si>
  <si>
    <t>Slopekvirus eap3</t>
  </si>
  <si>
    <t>Slopekvirus kp15</t>
  </si>
  <si>
    <t>Slopekvirus kp27</t>
  </si>
  <si>
    <t>Slopekvirus matisse</t>
  </si>
  <si>
    <t>Slopekvirus pht4A</t>
  </si>
  <si>
    <t>Tulanevirus 50ahydr13pp</t>
  </si>
  <si>
    <t>Tulanevirus 60ahydrpp</t>
  </si>
  <si>
    <t>Tulanevirus aes12</t>
  </si>
  <si>
    <t>Tulanevirus aes508</t>
  </si>
  <si>
    <t>Tulanevirus as4</t>
  </si>
  <si>
    <t>Tulanevirus asgz</t>
  </si>
  <si>
    <t>Tulanevirus bteighttwo</t>
  </si>
  <si>
    <t>Tulanevirus ime13</t>
  </si>
  <si>
    <t>Link to the GenBank record(s) in columns X.</t>
  </si>
  <si>
    <t>ICTV unique taxon ID for the species. This ID will only change if a species is split into multiple species, or if several species are merged into one. It is not changed by renames or changes to the higher rank taxonomy in which the species is classified.</t>
  </si>
  <si>
    <t>Original release</t>
  </si>
  <si>
    <t>Remove isolates in species that were abolished for MSL40.</t>
  </si>
  <si>
    <t>fungi (S)</t>
  </si>
  <si>
    <t>Not Compliant</t>
  </si>
  <si>
    <t>MSL40.v2</t>
  </si>
  <si>
    <t>Update</t>
  </si>
  <si>
    <t>Updated all taxon names to match changes in MSL40.v2</t>
  </si>
  <si>
    <t>Minor MSL update, #40.v2:</t>
  </si>
  <si>
    <t>DOI:</t>
  </si>
  <si>
    <t>10.5281/zenodo.15042309</t>
  </si>
  <si>
    <t>Removed isolates in species that were abolished for MSL40.v2</t>
  </si>
  <si>
    <t>Changes made to VMR exemplars</t>
  </si>
  <si>
    <t>10.5281/zenodo.17489005</t>
  </si>
  <si>
    <t>NCBI Nucleotide</t>
  </si>
  <si>
    <t>VMR1003051</t>
  </si>
  <si>
    <t>ICTV202113668</t>
  </si>
  <si>
    <t>VMR1003052</t>
  </si>
  <si>
    <t>ICTV19990386</t>
  </si>
  <si>
    <t>VMR1003053</t>
  </si>
  <si>
    <t>ICTV202113670</t>
  </si>
  <si>
    <t>VMR1003054</t>
  </si>
  <si>
    <t>ICTV202113678</t>
  </si>
  <si>
    <t>VMR1003055</t>
  </si>
  <si>
    <t>ICTV202113684</t>
  </si>
  <si>
    <t>VMR1003056</t>
  </si>
  <si>
    <t>ICTV201857038</t>
  </si>
  <si>
    <t>VMR1003057</t>
  </si>
  <si>
    <t>ICTV201857039</t>
  </si>
  <si>
    <t>VMR1003058</t>
  </si>
  <si>
    <t>ICTV20115484</t>
  </si>
  <si>
    <t>VMR1003059</t>
  </si>
  <si>
    <t>ICTV20164844</t>
  </si>
  <si>
    <t>VMR1003060</t>
  </si>
  <si>
    <t>ICTV202113676</t>
  </si>
  <si>
    <t>VMR1003061</t>
  </si>
  <si>
    <t>ICTV20115482</t>
  </si>
  <si>
    <t>VMR1003062</t>
  </si>
  <si>
    <t>ICTV19951303</t>
  </si>
  <si>
    <t>VMR1003063</t>
  </si>
  <si>
    <t>ICTV202214692</t>
  </si>
  <si>
    <t>VMR1003064</t>
  </si>
  <si>
    <t>ICTV202011630</t>
  </si>
  <si>
    <t>VMR1003065</t>
  </si>
  <si>
    <t>ICTV202011632</t>
  </si>
  <si>
    <t>VMR1003066</t>
  </si>
  <si>
    <t>ICTV202011629</t>
  </si>
  <si>
    <t>VMR1003067</t>
  </si>
  <si>
    <t>ICTV202011631</t>
  </si>
  <si>
    <t>VMR1003068</t>
  </si>
  <si>
    <t>ICTV202011634</t>
  </si>
  <si>
    <t>VMR1003069</t>
  </si>
  <si>
    <t>ICTV202011628</t>
  </si>
  <si>
    <t>VMR1003070</t>
  </si>
  <si>
    <t>ICTV202011633</t>
  </si>
  <si>
    <t>VMR1003071</t>
  </si>
  <si>
    <t>ICTV20115479</t>
  </si>
  <si>
    <t>VMR1003072</t>
  </si>
  <si>
    <t>ICTV20115481</t>
  </si>
  <si>
    <t>VMR1003073</t>
  </si>
  <si>
    <t>ICTV20115487</t>
  </si>
  <si>
    <t>VMR1003074</t>
  </si>
  <si>
    <t>ICTV20150056</t>
  </si>
  <si>
    <t>VMR1003075</t>
  </si>
  <si>
    <t>ICTV202113673</t>
  </si>
  <si>
    <t>VMR1003076</t>
  </si>
  <si>
    <t>ICTV20164837</t>
  </si>
  <si>
    <t>VMR1003077</t>
  </si>
  <si>
    <t>ICTV20164838</t>
  </si>
  <si>
    <t>VMR1003078</t>
  </si>
  <si>
    <t>ICTV20164839</t>
  </si>
  <si>
    <t>VMR1003079</t>
  </si>
  <si>
    <t>ICTV20164840</t>
  </si>
  <si>
    <t>VMR1003080</t>
  </si>
  <si>
    <t>ICTV202113675</t>
  </si>
  <si>
    <t>VMR1003082</t>
  </si>
  <si>
    <t>ICTV202113955</t>
  </si>
  <si>
    <t>VMR1003083</t>
  </si>
  <si>
    <t>ICTV202113956</t>
  </si>
  <si>
    <t>VMR1003084</t>
  </si>
  <si>
    <t>ICTV20150222</t>
  </si>
  <si>
    <t>VMR1003085</t>
  </si>
  <si>
    <t>ICTV20150223</t>
  </si>
  <si>
    <t>VMR1003086</t>
  </si>
  <si>
    <t>ICTV20150220</t>
  </si>
  <si>
    <t>VMR1003087</t>
  </si>
  <si>
    <t>ICTV201857033</t>
  </si>
  <si>
    <t>VMR1003088</t>
  </si>
  <si>
    <t>ICTV20115486</t>
  </si>
  <si>
    <t>VMR1003081</t>
  </si>
  <si>
    <t>ICTV20150221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</si>
</sst>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u/>
      <sz val="12"/>
      <color theme="10"/>
      <name val="Calibri"/>
      <family val="2"/>
      <scheme val="minor"/>
    </font>
    <font>
      <sz val="10"/>
      <name val="Arial"/>
      <family val="2"/>
    </font>
    <font>
      <sz val="14"/>
      <name val="Arial"/>
      <family val="2"/>
    </font>
    <font>
      <sz val="12"/>
      <name val="Arial"/>
      <family val="2"/>
    </font>
    <font>
      <u/>
      <sz val="10"/>
      <color theme="10"/>
      <name val="Arial"/>
      <family val="2"/>
    </font>
    <font>
      <b/>
      <sz val="12"/>
      <color theme="1"/>
      <name val="Verdana"/>
      <family val="2"/>
    </font>
    <font>
      <sz val="12"/>
      <color theme="1"/>
      <name val="Verdana"/>
      <family val="2"/>
    </font>
    <font>
      <sz val="12"/>
      <name val="Verdana"/>
      <family val="2"/>
    </font>
    <font>
      <b/>
      <sz val="12"/>
      <name val="Verdana"/>
      <family val="2"/>
    </font>
    <font>
      <u/>
      <sz val="12"/>
      <color theme="10"/>
      <name val="Verdan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9" fillId="0" borderId="0" applyNumberFormat="0" applyFill="0" applyBorder="0" applyAlignment="0" applyProtection="0"/>
    <xf numFmtId="0" fontId="20" fillId="0" borderId="0"/>
    <xf numFmtId="0" fontId="23" fillId="0" borderId="0" applyNumberFormat="0" applyFill="0" applyBorder="0" applyAlignment="0" applyProtection="0"/>
  </cellStyleXfs>
  <cellXfs count="57">
    <xf numFmtId="0" fontId="0" fillId="0" borderId="0" xfId="0"/>
    <xf numFmtId="0" fontId="0" fillId="0" borderId="0" xfId="0" applyAlignment="1">
      <alignment vertical="top"/>
    </xf>
    <xf numFmtId="0" fontId="1" fillId="0" borderId="0" xfId="0" applyFont="1" applyAlignment="1">
      <alignment vertical="top"/>
    </xf>
    <xf numFmtId="49" fontId="16" fillId="0" borderId="0" xfId="42" applyNumberFormat="1" applyFont="1" applyAlignment="1">
      <alignment vertical="top" wrapText="1"/>
    </xf>
    <xf numFmtId="49" fontId="1" fillId="0" borderId="10" xfId="42" applyNumberFormat="1" applyBorder="1" applyAlignment="1">
      <alignment vertical="top" wrapText="1"/>
    </xf>
    <xf numFmtId="49" fontId="1" fillId="0" borderId="11" xfId="42" applyNumberFormat="1" applyBorder="1" applyAlignment="1">
      <alignment vertical="top" wrapText="1"/>
    </xf>
    <xf numFmtId="49" fontId="16" fillId="0" borderId="12" xfId="42" applyNumberFormat="1" applyFont="1" applyBorder="1" applyAlignment="1">
      <alignment vertical="top" wrapText="1"/>
    </xf>
    <xf numFmtId="49" fontId="1" fillId="0" borderId="14" xfId="42" applyNumberFormat="1" applyBorder="1" applyAlignment="1">
      <alignment vertical="top" wrapText="1"/>
    </xf>
    <xf numFmtId="49" fontId="16" fillId="0" borderId="15" xfId="42" applyNumberFormat="1" applyFont="1" applyBorder="1" applyAlignment="1">
      <alignment vertical="top" wrapText="1"/>
    </xf>
    <xf numFmtId="49" fontId="16" fillId="0" borderId="16" xfId="42" applyNumberFormat="1" applyFont="1" applyBorder="1" applyAlignment="1">
      <alignment vertical="top" wrapText="1"/>
    </xf>
    <xf numFmtId="49" fontId="0" fillId="0" borderId="14" xfId="43" applyNumberFormat="1" applyFont="1" applyBorder="1" applyAlignment="1">
      <alignment vertical="top" wrapText="1"/>
    </xf>
    <xf numFmtId="49" fontId="16" fillId="33" borderId="17" xfId="42" applyNumberFormat="1" applyFont="1" applyFill="1" applyBorder="1" applyAlignment="1">
      <alignment vertical="top" wrapText="1"/>
    </xf>
    <xf numFmtId="49" fontId="16" fillId="33" borderId="18" xfId="42" applyNumberFormat="1" applyFont="1" applyFill="1" applyBorder="1" applyAlignment="1">
      <alignment vertical="top" wrapText="1"/>
    </xf>
    <xf numFmtId="49" fontId="16" fillId="33" borderId="19" xfId="42" applyNumberFormat="1" applyFont="1" applyFill="1" applyBorder="1" applyAlignment="1">
      <alignment vertical="top" wrapText="1"/>
    </xf>
    <xf numFmtId="0" fontId="16" fillId="34" borderId="15" xfId="0" applyFont="1" applyFill="1" applyBorder="1" applyAlignment="1">
      <alignment horizontal="center" vertical="center" wrapText="1"/>
    </xf>
    <xf numFmtId="0" fontId="16" fillId="34" borderId="20" xfId="0" applyFont="1" applyFill="1" applyBorder="1" applyAlignment="1">
      <alignment horizontal="center" vertical="center" wrapText="1"/>
    </xf>
    <xf numFmtId="0" fontId="16" fillId="34" borderId="21" xfId="0" applyFont="1" applyFill="1" applyBorder="1" applyAlignment="1">
      <alignment horizontal="center" vertical="center" wrapText="1"/>
    </xf>
    <xf numFmtId="0" fontId="18" fillId="0" borderId="0" xfId="0" applyFont="1" applyAlignment="1">
      <alignment horizontal="left"/>
    </xf>
    <xf numFmtId="0" fontId="0" fillId="0" borderId="0" xfId="0" applyAlignment="1">
      <alignment horizontal="left"/>
    </xf>
    <xf numFmtId="0" fontId="10" fillId="6" borderId="5" xfId="10" applyAlignment="1">
      <alignment horizontal="center" vertical="center" wrapText="1"/>
    </xf>
    <xf numFmtId="0" fontId="19" fillId="0" borderId="0" xfId="44" applyAlignment="1">
      <alignment horizontal="left"/>
    </xf>
    <xf numFmtId="0" fontId="19" fillId="0" borderId="0" xfId="44"/>
    <xf numFmtId="0" fontId="16" fillId="19" borderId="5" xfId="28" applyFont="1" applyBorder="1" applyAlignment="1">
      <alignment horizontal="center" vertical="center" wrapText="1"/>
    </xf>
    <xf numFmtId="0" fontId="20" fillId="0" borderId="0" xfId="45"/>
    <xf numFmtId="0" fontId="20" fillId="0" borderId="0" xfId="45" applyAlignment="1">
      <alignment horizontal="left" vertical="center"/>
    </xf>
    <xf numFmtId="0" fontId="21" fillId="0" borderId="0" xfId="45" applyFont="1"/>
    <xf numFmtId="0" fontId="20" fillId="0" borderId="0" xfId="45" applyAlignment="1">
      <alignment horizontal="left"/>
    </xf>
    <xf numFmtId="0" fontId="22" fillId="0" borderId="0" xfId="45" applyFont="1"/>
    <xf numFmtId="49" fontId="16" fillId="0" borderId="28" xfId="42" applyNumberFormat="1" applyFont="1" applyBorder="1" applyAlignment="1">
      <alignment vertical="top" wrapText="1"/>
    </xf>
    <xf numFmtId="49" fontId="16" fillId="0" borderId="25" xfId="42" applyNumberFormat="1" applyFont="1" applyBorder="1" applyAlignment="1">
      <alignment vertical="top" wrapText="1"/>
    </xf>
    <xf numFmtId="49" fontId="1" fillId="0" borderId="29" xfId="42" applyNumberFormat="1" applyBorder="1" applyAlignment="1">
      <alignment vertical="top" wrapText="1"/>
    </xf>
    <xf numFmtId="49" fontId="19" fillId="0" borderId="0" xfId="44" applyNumberFormat="1" applyAlignment="1">
      <alignment vertical="top" wrapText="1"/>
    </xf>
    <xf numFmtId="0" fontId="24" fillId="34" borderId="22" xfId="45" applyFont="1" applyFill="1" applyBorder="1" applyAlignment="1">
      <alignment horizontal="left" vertical="center"/>
    </xf>
    <xf numFmtId="0" fontId="25" fillId="34" borderId="23" xfId="45" applyFont="1" applyFill="1" applyBorder="1" applyAlignment="1">
      <alignment horizontal="left" vertical="center"/>
    </xf>
    <xf numFmtId="0" fontId="25" fillId="34" borderId="24" xfId="45" applyFont="1" applyFill="1" applyBorder="1" applyAlignment="1">
      <alignment horizontal="left" vertical="center"/>
    </xf>
    <xf numFmtId="0" fontId="26" fillId="0" borderId="0" xfId="45" applyFont="1"/>
    <xf numFmtId="0" fontId="27" fillId="34" borderId="30" xfId="45" applyFont="1" applyFill="1" applyBorder="1" applyAlignment="1">
      <alignment horizontal="right"/>
    </xf>
    <xf numFmtId="0" fontId="26" fillId="34" borderId="31" xfId="45" applyFont="1" applyFill="1" applyBorder="1"/>
    <xf numFmtId="0" fontId="26" fillId="34" borderId="25" xfId="45" applyFont="1" applyFill="1" applyBorder="1" applyAlignment="1">
      <alignment horizontal="left" vertical="center"/>
    </xf>
    <xf numFmtId="0" fontId="28" fillId="0" borderId="27" xfId="44" applyFont="1" applyFill="1" applyBorder="1" applyAlignment="1">
      <alignment horizontal="left" vertical="center"/>
    </xf>
    <xf numFmtId="0" fontId="27" fillId="34" borderId="19" xfId="45" applyFont="1" applyFill="1" applyBorder="1" applyAlignment="1">
      <alignment horizontal="right"/>
    </xf>
    <xf numFmtId="0" fontId="26" fillId="34" borderId="17" xfId="45" applyFont="1" applyFill="1" applyBorder="1"/>
    <xf numFmtId="0" fontId="27" fillId="0" borderId="16" xfId="45" applyFont="1" applyBorder="1" applyAlignment="1">
      <alignment horizontal="right"/>
    </xf>
    <xf numFmtId="164" fontId="26" fillId="0" borderId="14" xfId="45" applyNumberFormat="1" applyFont="1" applyBorder="1" applyAlignment="1">
      <alignment horizontal="right"/>
    </xf>
    <xf numFmtId="15" fontId="26" fillId="0" borderId="0" xfId="45" applyNumberFormat="1" applyFont="1"/>
    <xf numFmtId="49" fontId="27" fillId="0" borderId="25" xfId="45" applyNumberFormat="1" applyFont="1" applyBorder="1" applyAlignment="1">
      <alignment horizontal="left" vertical="center"/>
    </xf>
    <xf numFmtId="0" fontId="27" fillId="0" borderId="13" xfId="45" applyFont="1" applyBorder="1" applyAlignment="1">
      <alignment horizontal="right"/>
    </xf>
    <xf numFmtId="15" fontId="26" fillId="0" borderId="0" xfId="45" applyNumberFormat="1" applyFont="1" applyAlignment="1">
      <alignment horizontal="right"/>
    </xf>
    <xf numFmtId="0" fontId="26" fillId="0" borderId="26" xfId="45" applyFont="1" applyBorder="1" applyAlignment="1">
      <alignment horizontal="left" vertical="center"/>
    </xf>
    <xf numFmtId="49" fontId="16" fillId="34" borderId="15" xfId="0" applyNumberFormat="1" applyFont="1" applyFill="1" applyBorder="1" applyAlignment="1">
      <alignment horizontal="center" vertical="center" wrapText="1"/>
    </xf>
    <xf numFmtId="49" fontId="0" fillId="0" borderId="0" xfId="0" applyNumberFormat="1" applyAlignment="1">
      <alignment horizontal="left"/>
    </xf>
    <xf numFmtId="15" fontId="26" fillId="0" borderId="14" xfId="45" applyNumberFormat="1" applyFont="1" applyBorder="1" applyAlignment="1">
      <alignment horizontal="right"/>
    </xf>
    <xf numFmtId="15" fontId="26" fillId="0" borderId="11" xfId="45" applyNumberFormat="1" applyFont="1" applyBorder="1" applyAlignment="1">
      <alignment horizontal="left"/>
    </xf>
    <xf numFmtId="0" fontId="27" fillId="0" borderId="0" xfId="45" applyFont="1" applyAlignment="1">
      <alignment horizontal="right"/>
    </xf>
    <xf numFmtId="15" fontId="26" fillId="0" borderId="0" xfId="45" applyNumberFormat="1" applyFont="1" applyAlignment="1">
      <alignment horizontal="left"/>
    </xf>
    <xf numFmtId="0" fontId="26" fillId="0" borderId="27" xfId="45" applyFont="1" applyBorder="1"/>
    <xf numFmtId="0" fontId="26" fillId="0" borderId="26" xfId="45" applyFont="1" applyBorder="1"/>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Hyperlink 2" xfId="46" xr:uid="{67E4E73A-2184-754C-B793-3A06C8FF8E35}"/>
    <cellStyle name="Input" xfId="9" builtinId="20" customBuiltin="1"/>
    <cellStyle name="Linked Cell" xfId="12" builtinId="24" customBuiltin="1"/>
    <cellStyle name="Neutral" xfId="8" builtinId="28" customBuiltin="1"/>
    <cellStyle name="Normal" xfId="0" builtinId="0"/>
    <cellStyle name="Normal 2" xfId="45" xr:uid="{8C32F69F-8989-FE4F-B11C-AAF42A0DF252}"/>
    <cellStyle name="Normal 2 2" xfId="43" xr:uid="{00000000-0005-0000-0000-000025000000}"/>
    <cellStyle name="Normal 3"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ictv.global/about/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F752-4B12-2A41-8FFB-A5B2A9DC8616}">
  <dimension ref="A1:F21"/>
  <sheetViews>
    <sheetView showGridLines="0" zoomScale="120" zoomScaleNormal="120" workbookViewId="0"/>
  </sheetViews>
  <sheetFormatPr defaultColWidth="11.5" defaultRowHeight="12.5" x14ac:dyDescent="0.25"/>
  <cols>
    <col min="1" max="1" width="3.33203125" style="23" customWidth="1"/>
    <col min="2" max="2" width="11.83203125" style="23" customWidth="1"/>
    <col min="3" max="3" width="30" style="23" customWidth="1"/>
    <col min="4" max="4" width="4.6640625" style="23" customWidth="1"/>
    <col min="5" max="5" width="93.83203125" style="24" customWidth="1"/>
    <col min="6" max="6" width="54.6640625" style="23" customWidth="1"/>
    <col min="7" max="7" width="10.83203125" style="23" customWidth="1"/>
    <col min="8" max="16384" width="11.5" style="23"/>
  </cols>
  <sheetData>
    <row r="1" spans="1:6" ht="13" thickBot="1" x14ac:dyDescent="0.3"/>
    <row r="2" spans="1:6" s="25" customFormat="1" ht="18" thickBot="1" x14ac:dyDescent="0.4">
      <c r="B2" s="32" t="s">
        <v>196</v>
      </c>
      <c r="C2" s="33"/>
      <c r="D2" s="33"/>
      <c r="E2" s="34"/>
      <c r="F2" s="26"/>
    </row>
    <row r="3" spans="1:6" ht="15.5" thickBot="1" x14ac:dyDescent="0.35">
      <c r="B3" s="35"/>
      <c r="C3" s="35"/>
      <c r="D3" s="35"/>
      <c r="E3" s="35"/>
    </row>
    <row r="4" spans="1:6" ht="18" thickBot="1" x14ac:dyDescent="0.4">
      <c r="A4" s="25"/>
      <c r="B4" s="36" t="s">
        <v>192</v>
      </c>
      <c r="C4" s="37" t="s">
        <v>178</v>
      </c>
      <c r="D4" s="35"/>
      <c r="E4" s="38" t="s">
        <v>194</v>
      </c>
    </row>
    <row r="5" spans="1:6" ht="15.5" x14ac:dyDescent="0.35">
      <c r="A5" s="27"/>
      <c r="B5" s="35"/>
      <c r="C5" s="35"/>
      <c r="D5" s="35"/>
      <c r="E5" s="39" t="s">
        <v>193</v>
      </c>
    </row>
    <row r="6" spans="1:6" ht="15.5" thickBot="1" x14ac:dyDescent="0.35">
      <c r="B6" s="35"/>
      <c r="C6" s="35"/>
      <c r="D6" s="35"/>
      <c r="E6" s="35"/>
    </row>
    <row r="7" spans="1:6" ht="17.5" x14ac:dyDescent="0.35">
      <c r="A7" s="25"/>
      <c r="B7" s="40" t="s">
        <v>175</v>
      </c>
      <c r="C7" s="41" t="s">
        <v>197</v>
      </c>
      <c r="D7" s="35"/>
      <c r="E7" s="38" t="str">
        <f>CONCATENATE("Version ",C7)</f>
        <v>Version MSL40.v1</v>
      </c>
    </row>
    <row r="8" spans="1:6" ht="15.5" x14ac:dyDescent="0.35">
      <c r="A8" s="27"/>
      <c r="B8" s="42" t="s">
        <v>176</v>
      </c>
      <c r="C8" s="43">
        <v>45723</v>
      </c>
      <c r="D8" s="44"/>
      <c r="E8" s="45" t="s">
        <v>198</v>
      </c>
    </row>
    <row r="9" spans="1:6" ht="15.5" x14ac:dyDescent="0.35">
      <c r="A9" s="27"/>
      <c r="B9" s="42" t="s">
        <v>177</v>
      </c>
      <c r="C9" s="51" t="s">
        <v>245</v>
      </c>
      <c r="D9" s="47"/>
      <c r="E9" s="48" t="s">
        <v>199</v>
      </c>
    </row>
    <row r="10" spans="1:6" ht="16" thickBot="1" x14ac:dyDescent="0.4">
      <c r="A10" s="27"/>
      <c r="B10" s="46" t="s">
        <v>253</v>
      </c>
      <c r="C10" s="52" t="s">
        <v>254</v>
      </c>
      <c r="D10" s="47"/>
      <c r="E10" s="48" t="s">
        <v>200</v>
      </c>
    </row>
    <row r="11" spans="1:6" ht="15.5" x14ac:dyDescent="0.35">
      <c r="A11" s="27"/>
      <c r="B11" s="53"/>
      <c r="C11" s="54"/>
      <c r="D11" s="47"/>
      <c r="E11" s="48" t="s">
        <v>246</v>
      </c>
    </row>
    <row r="12" spans="1:6" ht="15.5" x14ac:dyDescent="0.35">
      <c r="A12" s="27"/>
      <c r="B12" s="35"/>
      <c r="C12" s="35"/>
      <c r="D12" s="35"/>
      <c r="E12" s="56" t="s">
        <v>256</v>
      </c>
    </row>
    <row r="13" spans="1:6" ht="15.5" x14ac:dyDescent="0.35">
      <c r="B13" s="27"/>
      <c r="C13" s="27"/>
      <c r="D13" s="27"/>
      <c r="E13" s="39" t="str">
        <f>HYPERLINK("https://ictv.global/vmr","For more information see: https://ictv.global/vmr")</f>
        <v>For more information see: https://ictv.global/vmr</v>
      </c>
    </row>
    <row r="14" spans="1:6" ht="13" thickBot="1" x14ac:dyDescent="0.3">
      <c r="E14" s="23"/>
    </row>
    <row r="15" spans="1:6" ht="15" x14ac:dyDescent="0.3">
      <c r="B15" s="40" t="s">
        <v>175</v>
      </c>
      <c r="C15" s="41" t="s">
        <v>249</v>
      </c>
      <c r="D15" s="35"/>
      <c r="E15" s="38" t="str">
        <f>CONCATENATE("Version ",C15)</f>
        <v>Version MSL40.v2</v>
      </c>
    </row>
    <row r="16" spans="1:6" ht="15" x14ac:dyDescent="0.3">
      <c r="B16" s="42" t="s">
        <v>176</v>
      </c>
      <c r="C16" s="43">
        <v>45943</v>
      </c>
      <c r="D16" s="44"/>
      <c r="E16" s="45" t="s">
        <v>252</v>
      </c>
    </row>
    <row r="17" spans="2:5" ht="15" x14ac:dyDescent="0.3">
      <c r="B17" s="42" t="s">
        <v>177</v>
      </c>
      <c r="C17" s="51" t="s">
        <v>250</v>
      </c>
      <c r="D17" s="47"/>
      <c r="E17" s="48" t="s">
        <v>251</v>
      </c>
    </row>
    <row r="18" spans="2:5" ht="15.5" thickBot="1" x14ac:dyDescent="0.35">
      <c r="B18" s="46" t="s">
        <v>253</v>
      </c>
      <c r="C18" s="52" t="s">
        <v>257</v>
      </c>
      <c r="D18" s="47"/>
      <c r="E18" s="48" t="s">
        <v>255</v>
      </c>
    </row>
    <row r="19" spans="2:5" ht="15" x14ac:dyDescent="0.3">
      <c r="C19" s="47"/>
      <c r="D19" s="47"/>
      <c r="E19" s="55" t="s">
        <v>256</v>
      </c>
    </row>
    <row r="20" spans="2:5" ht="15" x14ac:dyDescent="0.3">
      <c r="B20" s="35"/>
      <c r="C20" s="35"/>
      <c r="D20" s="35"/>
    </row>
    <row r="21" spans="2:5" ht="15.5" x14ac:dyDescent="0.35">
      <c r="B21" s="27"/>
      <c r="C21" s="27"/>
      <c r="D21" s="27"/>
    </row>
  </sheetData>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4154-A17C-437A-9082-00A7611672C8}">
  <dimension ref="A1:AB39"/>
  <sheetViews>
    <sheetView tabSelected="1" workbookViewId="0">
      <selection sqref="A1:AB39"/>
    </sheetView>
  </sheetViews>
  <sheetFormatPr defaultRowHeight="15.5" x14ac:dyDescent="0.35"/>
  <sheetData>
    <row r="1" spans="1:28" ht="77.5" x14ac:dyDescent="0.35">
      <c r="A1" s="14" t="s">
        <v>172</v>
      </c>
      <c r="B1" s="14" t="s">
        <v>163</v>
      </c>
      <c r="C1" s="14" t="s">
        <v>0</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15</v>
      </c>
      <c r="S1" s="14" t="s">
        <v>202</v>
      </c>
      <c r="T1" s="14" t="s">
        <v>16</v>
      </c>
      <c r="U1" s="49" t="s">
        <v>17</v>
      </c>
      <c r="V1" s="49" t="s">
        <v>18</v>
      </c>
      <c r="W1" s="49" t="s">
        <v>19</v>
      </c>
      <c r="X1" s="15" t="s">
        <v>20</v>
      </c>
      <c r="Y1" s="16" t="s">
        <v>21</v>
      </c>
      <c r="Z1" s="14" t="s">
        <v>191</v>
      </c>
      <c r="AA1" s="14" t="s">
        <v>22</v>
      </c>
      <c r="AB1" s="22" t="s">
        <v>173</v>
      </c>
    </row>
    <row r="2" spans="1:28" x14ac:dyDescent="0.35">
      <c r="A2" s="21" t="s">
        <v>259</v>
      </c>
      <c r="B2">
        <v>1544</v>
      </c>
      <c r="C2">
        <v>1</v>
      </c>
      <c r="D2" s="17" t="s">
        <v>29</v>
      </c>
      <c r="E2" s="17"/>
      <c r="F2" s="17" t="s">
        <v>30</v>
      </c>
      <c r="G2" s="17"/>
      <c r="H2" s="17" t="s">
        <v>32</v>
      </c>
      <c r="I2" s="17"/>
      <c r="J2" s="17" t="s">
        <v>33</v>
      </c>
      <c r="K2" s="17"/>
      <c r="L2" s="17" t="s">
        <v>201</v>
      </c>
      <c r="M2" s="17"/>
      <c r="N2" s="17" t="s">
        <v>37</v>
      </c>
      <c r="O2" s="17"/>
      <c r="P2" s="17" t="s">
        <v>38</v>
      </c>
      <c r="Q2" s="17"/>
      <c r="R2" s="17" t="s">
        <v>205</v>
      </c>
      <c r="S2" s="20" t="s">
        <v>260</v>
      </c>
      <c r="T2" s="18" t="s">
        <v>23</v>
      </c>
      <c r="U2" s="50" t="s">
        <v>39</v>
      </c>
      <c r="V2" s="50"/>
      <c r="W2" s="50"/>
      <c r="X2" s="18" t="s">
        <v>40</v>
      </c>
      <c r="Y2" s="18" t="s">
        <v>27</v>
      </c>
      <c r="Z2" s="18" t="s">
        <v>25</v>
      </c>
      <c r="AA2" s="18" t="s">
        <v>34</v>
      </c>
      <c r="AB2" s="20" t="s">
        <v>258</v>
      </c>
    </row>
    <row r="3" spans="1:28" x14ac:dyDescent="0.35">
      <c r="A3" s="21" t="s">
        <v>261</v>
      </c>
      <c r="B3">
        <v>1545</v>
      </c>
      <c r="C3">
        <v>1</v>
      </c>
      <c r="D3" s="17" t="s">
        <v>29</v>
      </c>
      <c r="E3" s="17"/>
      <c r="F3" s="17" t="s">
        <v>30</v>
      </c>
      <c r="G3" s="17"/>
      <c r="H3" s="17" t="s">
        <v>32</v>
      </c>
      <c r="I3" s="17"/>
      <c r="J3" s="17" t="s">
        <v>33</v>
      </c>
      <c r="K3" s="17"/>
      <c r="L3" s="17" t="s">
        <v>201</v>
      </c>
      <c r="M3" s="17"/>
      <c r="N3" s="17" t="s">
        <v>37</v>
      </c>
      <c r="O3" s="17"/>
      <c r="P3" s="17" t="s">
        <v>41</v>
      </c>
      <c r="Q3" s="17"/>
      <c r="R3" s="17" t="s">
        <v>206</v>
      </c>
      <c r="S3" s="20" t="s">
        <v>262</v>
      </c>
      <c r="T3" s="18" t="s">
        <v>23</v>
      </c>
      <c r="U3" s="50" t="s">
        <v>42</v>
      </c>
      <c r="V3" s="50"/>
      <c r="W3" s="50"/>
      <c r="X3" s="18" t="s">
        <v>43</v>
      </c>
      <c r="Y3" s="18" t="s">
        <v>27</v>
      </c>
      <c r="Z3" s="18" t="s">
        <v>25</v>
      </c>
      <c r="AA3" s="18" t="s">
        <v>34</v>
      </c>
      <c r="AB3" s="20" t="s">
        <v>258</v>
      </c>
    </row>
    <row r="4" spans="1:28" x14ac:dyDescent="0.35">
      <c r="A4" s="21" t="s">
        <v>263</v>
      </c>
      <c r="B4">
        <v>1546</v>
      </c>
      <c r="C4">
        <v>1</v>
      </c>
      <c r="D4" s="17" t="s">
        <v>29</v>
      </c>
      <c r="E4" s="17"/>
      <c r="F4" s="17" t="s">
        <v>30</v>
      </c>
      <c r="G4" s="17"/>
      <c r="H4" s="17" t="s">
        <v>32</v>
      </c>
      <c r="I4" s="17"/>
      <c r="J4" s="17" t="s">
        <v>33</v>
      </c>
      <c r="K4" s="17"/>
      <c r="L4" s="17" t="s">
        <v>201</v>
      </c>
      <c r="M4" s="17"/>
      <c r="N4" s="17" t="s">
        <v>37</v>
      </c>
      <c r="O4" s="17"/>
      <c r="P4" s="17" t="s">
        <v>41</v>
      </c>
      <c r="Q4" s="17"/>
      <c r="R4" s="17" t="s">
        <v>207</v>
      </c>
      <c r="S4" s="20" t="s">
        <v>264</v>
      </c>
      <c r="T4" s="18" t="s">
        <v>23</v>
      </c>
      <c r="U4" s="50" t="s">
        <v>44</v>
      </c>
      <c r="V4" s="50"/>
      <c r="W4" s="50"/>
      <c r="X4" s="18" t="s">
        <v>45</v>
      </c>
      <c r="Y4" s="18" t="s">
        <v>27</v>
      </c>
      <c r="Z4" s="18" t="s">
        <v>25</v>
      </c>
      <c r="AA4" s="18" t="s">
        <v>34</v>
      </c>
      <c r="AB4" s="20" t="s">
        <v>258</v>
      </c>
    </row>
    <row r="5" spans="1:28" x14ac:dyDescent="0.35">
      <c r="A5" s="21" t="s">
        <v>265</v>
      </c>
      <c r="B5">
        <v>1547</v>
      </c>
      <c r="C5">
        <v>1</v>
      </c>
      <c r="D5" s="17" t="s">
        <v>29</v>
      </c>
      <c r="E5" s="17"/>
      <c r="F5" s="17" t="s">
        <v>30</v>
      </c>
      <c r="G5" s="17"/>
      <c r="H5" s="17" t="s">
        <v>32</v>
      </c>
      <c r="I5" s="17"/>
      <c r="J5" s="17" t="s">
        <v>33</v>
      </c>
      <c r="K5" s="17"/>
      <c r="L5" s="17" t="s">
        <v>201</v>
      </c>
      <c r="M5" s="17"/>
      <c r="N5" s="17" t="s">
        <v>37</v>
      </c>
      <c r="O5" s="17"/>
      <c r="P5" s="17" t="s">
        <v>46</v>
      </c>
      <c r="Q5" s="17"/>
      <c r="R5" s="17" t="s">
        <v>208</v>
      </c>
      <c r="S5" s="20" t="s">
        <v>266</v>
      </c>
      <c r="T5" s="18" t="s">
        <v>23</v>
      </c>
      <c r="U5" s="50" t="s">
        <v>47</v>
      </c>
      <c r="V5" s="50"/>
      <c r="W5" s="50"/>
      <c r="X5" s="18" t="s">
        <v>48</v>
      </c>
      <c r="Y5" s="18" t="s">
        <v>27</v>
      </c>
      <c r="Z5" s="18" t="s">
        <v>25</v>
      </c>
      <c r="AA5" s="18" t="s">
        <v>34</v>
      </c>
      <c r="AB5" s="20" t="s">
        <v>258</v>
      </c>
    </row>
    <row r="6" spans="1:28" x14ac:dyDescent="0.35">
      <c r="A6" s="21" t="s">
        <v>267</v>
      </c>
      <c r="B6">
        <v>1548</v>
      </c>
      <c r="C6">
        <v>1</v>
      </c>
      <c r="D6" s="17" t="s">
        <v>29</v>
      </c>
      <c r="E6" s="17"/>
      <c r="F6" s="17" t="s">
        <v>30</v>
      </c>
      <c r="G6" s="17"/>
      <c r="H6" s="17" t="s">
        <v>32</v>
      </c>
      <c r="I6" s="17"/>
      <c r="J6" s="17" t="s">
        <v>33</v>
      </c>
      <c r="K6" s="17"/>
      <c r="L6" s="17" t="s">
        <v>201</v>
      </c>
      <c r="M6" s="17"/>
      <c r="N6" s="17" t="s">
        <v>37</v>
      </c>
      <c r="O6" s="17"/>
      <c r="P6" s="17" t="s">
        <v>49</v>
      </c>
      <c r="Q6" s="17"/>
      <c r="R6" s="17" t="s">
        <v>209</v>
      </c>
      <c r="S6" s="20" t="s">
        <v>268</v>
      </c>
      <c r="T6" s="18" t="s">
        <v>23</v>
      </c>
      <c r="U6" s="50" t="s">
        <v>50</v>
      </c>
      <c r="V6" s="50"/>
      <c r="W6" s="50"/>
      <c r="X6" s="18" t="s">
        <v>51</v>
      </c>
      <c r="Y6" s="18" t="s">
        <v>27</v>
      </c>
      <c r="Z6" s="18" t="s">
        <v>25</v>
      </c>
      <c r="AA6" s="18" t="s">
        <v>34</v>
      </c>
      <c r="AB6" s="20" t="s">
        <v>258</v>
      </c>
    </row>
    <row r="7" spans="1:28" x14ac:dyDescent="0.35">
      <c r="A7" s="21" t="s">
        <v>269</v>
      </c>
      <c r="B7">
        <v>1549</v>
      </c>
      <c r="C7">
        <v>1</v>
      </c>
      <c r="D7" s="17" t="s">
        <v>29</v>
      </c>
      <c r="E7" s="17"/>
      <c r="F7" s="17" t="s">
        <v>30</v>
      </c>
      <c r="G7" s="17"/>
      <c r="H7" s="17" t="s">
        <v>32</v>
      </c>
      <c r="I7" s="17"/>
      <c r="J7" s="17" t="s">
        <v>33</v>
      </c>
      <c r="K7" s="17"/>
      <c r="L7" s="17" t="s">
        <v>201</v>
      </c>
      <c r="M7" s="17"/>
      <c r="N7" s="17" t="s">
        <v>37</v>
      </c>
      <c r="O7" s="17"/>
      <c r="P7" s="17" t="s">
        <v>52</v>
      </c>
      <c r="Q7" s="17"/>
      <c r="R7" s="17" t="s">
        <v>210</v>
      </c>
      <c r="S7" s="20" t="s">
        <v>270</v>
      </c>
      <c r="T7" s="18" t="s">
        <v>23</v>
      </c>
      <c r="U7" s="50" t="s">
        <v>53</v>
      </c>
      <c r="V7" s="50"/>
      <c r="W7" s="50"/>
      <c r="X7" s="18" t="s">
        <v>54</v>
      </c>
      <c r="Y7" s="18" t="s">
        <v>27</v>
      </c>
      <c r="Z7" s="18" t="s">
        <v>25</v>
      </c>
      <c r="AA7" s="18" t="s">
        <v>34</v>
      </c>
      <c r="AB7" s="20" t="s">
        <v>258</v>
      </c>
    </row>
    <row r="8" spans="1:28" x14ac:dyDescent="0.35">
      <c r="A8" s="21" t="s">
        <v>271</v>
      </c>
      <c r="B8">
        <v>1550</v>
      </c>
      <c r="C8">
        <v>1</v>
      </c>
      <c r="D8" s="17" t="s">
        <v>29</v>
      </c>
      <c r="E8" s="17"/>
      <c r="F8" s="17" t="s">
        <v>30</v>
      </c>
      <c r="G8" s="17"/>
      <c r="H8" s="17" t="s">
        <v>32</v>
      </c>
      <c r="I8" s="17"/>
      <c r="J8" s="17" t="s">
        <v>33</v>
      </c>
      <c r="K8" s="17"/>
      <c r="L8" s="17" t="s">
        <v>201</v>
      </c>
      <c r="M8" s="17"/>
      <c r="N8" s="17" t="s">
        <v>37</v>
      </c>
      <c r="O8" s="17"/>
      <c r="P8" s="17" t="s">
        <v>52</v>
      </c>
      <c r="Q8" s="17"/>
      <c r="R8" s="17" t="s">
        <v>211</v>
      </c>
      <c r="S8" s="20" t="s">
        <v>272</v>
      </c>
      <c r="T8" s="18" t="s">
        <v>23</v>
      </c>
      <c r="U8" s="50" t="s">
        <v>55</v>
      </c>
      <c r="V8" s="50"/>
      <c r="W8" s="50"/>
      <c r="X8" s="18" t="s">
        <v>56</v>
      </c>
      <c r="Y8" s="18" t="s">
        <v>27</v>
      </c>
      <c r="Z8" s="18" t="s">
        <v>25</v>
      </c>
      <c r="AA8" s="18" t="s">
        <v>34</v>
      </c>
      <c r="AB8" s="20" t="s">
        <v>258</v>
      </c>
    </row>
    <row r="9" spans="1:28" x14ac:dyDescent="0.35">
      <c r="A9" s="21" t="s">
        <v>273</v>
      </c>
      <c r="B9">
        <v>1551</v>
      </c>
      <c r="C9">
        <v>1</v>
      </c>
      <c r="D9" s="17" t="s">
        <v>29</v>
      </c>
      <c r="E9" s="17"/>
      <c r="F9" s="17" t="s">
        <v>30</v>
      </c>
      <c r="G9" s="17"/>
      <c r="H9" s="17" t="s">
        <v>32</v>
      </c>
      <c r="I9" s="17"/>
      <c r="J9" s="17" t="s">
        <v>33</v>
      </c>
      <c r="K9" s="17"/>
      <c r="L9" s="17" t="s">
        <v>201</v>
      </c>
      <c r="M9" s="17"/>
      <c r="N9" s="17" t="s">
        <v>37</v>
      </c>
      <c r="O9" s="17"/>
      <c r="P9" s="17" t="s">
        <v>52</v>
      </c>
      <c r="Q9" s="17"/>
      <c r="R9" s="17" t="s">
        <v>212</v>
      </c>
      <c r="S9" s="20" t="s">
        <v>274</v>
      </c>
      <c r="T9" s="18" t="s">
        <v>23</v>
      </c>
      <c r="U9" s="50" t="s">
        <v>57</v>
      </c>
      <c r="V9" s="50"/>
      <c r="W9" s="50"/>
      <c r="X9" s="18" t="s">
        <v>58</v>
      </c>
      <c r="Y9" s="18" t="s">
        <v>27</v>
      </c>
      <c r="Z9" s="18" t="s">
        <v>25</v>
      </c>
      <c r="AA9" s="18" t="s">
        <v>34</v>
      </c>
      <c r="AB9" s="20" t="s">
        <v>258</v>
      </c>
    </row>
    <row r="10" spans="1:28" x14ac:dyDescent="0.35">
      <c r="A10" s="21" t="s">
        <v>275</v>
      </c>
      <c r="B10">
        <v>1552</v>
      </c>
      <c r="C10">
        <v>1</v>
      </c>
      <c r="D10" s="17" t="s">
        <v>29</v>
      </c>
      <c r="E10" s="17"/>
      <c r="F10" s="17" t="s">
        <v>30</v>
      </c>
      <c r="G10" s="17"/>
      <c r="H10" s="17" t="s">
        <v>32</v>
      </c>
      <c r="I10" s="17"/>
      <c r="J10" s="17" t="s">
        <v>33</v>
      </c>
      <c r="K10" s="17"/>
      <c r="L10" s="17" t="s">
        <v>201</v>
      </c>
      <c r="M10" s="17"/>
      <c r="N10" s="17" t="s">
        <v>37</v>
      </c>
      <c r="O10" s="17"/>
      <c r="P10" s="17" t="s">
        <v>52</v>
      </c>
      <c r="Q10" s="17"/>
      <c r="R10" s="17" t="s">
        <v>213</v>
      </c>
      <c r="S10" s="20" t="s">
        <v>276</v>
      </c>
      <c r="T10" s="18" t="s">
        <v>23</v>
      </c>
      <c r="U10" s="50" t="s">
        <v>59</v>
      </c>
      <c r="V10" s="50"/>
      <c r="W10" s="50"/>
      <c r="X10" s="18" t="s">
        <v>60</v>
      </c>
      <c r="Y10" s="18" t="s">
        <v>27</v>
      </c>
      <c r="Z10" s="18" t="s">
        <v>25</v>
      </c>
      <c r="AA10" s="18" t="s">
        <v>34</v>
      </c>
      <c r="AB10" s="20" t="s">
        <v>258</v>
      </c>
    </row>
    <row r="11" spans="1:28" x14ac:dyDescent="0.35">
      <c r="A11" s="21" t="s">
        <v>277</v>
      </c>
      <c r="B11">
        <v>1553</v>
      </c>
      <c r="C11">
        <v>1</v>
      </c>
      <c r="D11" s="17" t="s">
        <v>29</v>
      </c>
      <c r="E11" s="17"/>
      <c r="F11" s="17" t="s">
        <v>30</v>
      </c>
      <c r="G11" s="17"/>
      <c r="H11" s="17" t="s">
        <v>32</v>
      </c>
      <c r="I11" s="17"/>
      <c r="J11" s="17" t="s">
        <v>33</v>
      </c>
      <c r="K11" s="17"/>
      <c r="L11" s="17" t="s">
        <v>201</v>
      </c>
      <c r="M11" s="17"/>
      <c r="N11" s="17" t="s">
        <v>37</v>
      </c>
      <c r="O11" s="17"/>
      <c r="P11" s="17" t="s">
        <v>52</v>
      </c>
      <c r="Q11" s="17"/>
      <c r="R11" s="17" t="s">
        <v>214</v>
      </c>
      <c r="S11" s="20" t="s">
        <v>278</v>
      </c>
      <c r="T11" s="18" t="s">
        <v>23</v>
      </c>
      <c r="U11" s="50" t="s">
        <v>61</v>
      </c>
      <c r="V11" s="50"/>
      <c r="W11" s="50"/>
      <c r="X11" s="18" t="s">
        <v>62</v>
      </c>
      <c r="Y11" s="18" t="s">
        <v>27</v>
      </c>
      <c r="Z11" s="18" t="s">
        <v>25</v>
      </c>
      <c r="AA11" s="18" t="s">
        <v>34</v>
      </c>
      <c r="AB11" s="20" t="s">
        <v>258</v>
      </c>
    </row>
    <row r="12" spans="1:28" x14ac:dyDescent="0.35">
      <c r="A12" s="21" t="s">
        <v>279</v>
      </c>
      <c r="B12">
        <v>1554</v>
      </c>
      <c r="C12">
        <v>1</v>
      </c>
      <c r="D12" s="17" t="s">
        <v>29</v>
      </c>
      <c r="E12" s="17"/>
      <c r="F12" s="17" t="s">
        <v>30</v>
      </c>
      <c r="G12" s="17"/>
      <c r="H12" s="17" t="s">
        <v>32</v>
      </c>
      <c r="I12" s="17"/>
      <c r="J12" s="17" t="s">
        <v>33</v>
      </c>
      <c r="K12" s="17"/>
      <c r="L12" s="17" t="s">
        <v>201</v>
      </c>
      <c r="M12" s="17"/>
      <c r="N12" s="17" t="s">
        <v>37</v>
      </c>
      <c r="O12" s="17"/>
      <c r="P12" s="17" t="s">
        <v>52</v>
      </c>
      <c r="Q12" s="17"/>
      <c r="R12" s="17" t="s">
        <v>215</v>
      </c>
      <c r="S12" s="20" t="s">
        <v>280</v>
      </c>
      <c r="T12" s="18" t="s">
        <v>23</v>
      </c>
      <c r="U12" s="50" t="s">
        <v>63</v>
      </c>
      <c r="V12" s="50"/>
      <c r="W12" s="50"/>
      <c r="X12" s="18" t="s">
        <v>64</v>
      </c>
      <c r="Y12" s="18" t="s">
        <v>27</v>
      </c>
      <c r="Z12" s="18" t="s">
        <v>25</v>
      </c>
      <c r="AA12" s="18" t="s">
        <v>34</v>
      </c>
      <c r="AB12" s="20" t="s">
        <v>258</v>
      </c>
    </row>
    <row r="13" spans="1:28" x14ac:dyDescent="0.35">
      <c r="A13" s="21" t="s">
        <v>281</v>
      </c>
      <c r="B13">
        <v>1555</v>
      </c>
      <c r="C13">
        <v>1</v>
      </c>
      <c r="D13" s="17" t="s">
        <v>29</v>
      </c>
      <c r="E13" s="17"/>
      <c r="F13" s="17" t="s">
        <v>30</v>
      </c>
      <c r="G13" s="17"/>
      <c r="H13" s="17" t="s">
        <v>32</v>
      </c>
      <c r="I13" s="17"/>
      <c r="J13" s="17" t="s">
        <v>33</v>
      </c>
      <c r="K13" s="17"/>
      <c r="L13" s="17" t="s">
        <v>201</v>
      </c>
      <c r="M13" s="17"/>
      <c r="N13" s="17" t="s">
        <v>37</v>
      </c>
      <c r="O13" s="17"/>
      <c r="P13" s="17" t="s">
        <v>65</v>
      </c>
      <c r="Q13" s="17"/>
      <c r="R13" s="17" t="s">
        <v>216</v>
      </c>
      <c r="S13" s="20" t="s">
        <v>282</v>
      </c>
      <c r="T13" s="18" t="s">
        <v>23</v>
      </c>
      <c r="U13" s="50" t="s">
        <v>66</v>
      </c>
      <c r="V13" s="50"/>
      <c r="W13" s="50"/>
      <c r="X13" s="18" t="s">
        <v>67</v>
      </c>
      <c r="Y13" s="18" t="s">
        <v>27</v>
      </c>
      <c r="Z13" s="18" t="s">
        <v>25</v>
      </c>
      <c r="AA13" s="18" t="s">
        <v>34</v>
      </c>
      <c r="AB13" s="20" t="s">
        <v>258</v>
      </c>
    </row>
    <row r="14" spans="1:28" x14ac:dyDescent="0.35">
      <c r="A14" s="21" t="s">
        <v>283</v>
      </c>
      <c r="B14">
        <v>1556</v>
      </c>
      <c r="C14">
        <v>1</v>
      </c>
      <c r="D14" s="17" t="s">
        <v>29</v>
      </c>
      <c r="E14" s="17"/>
      <c r="F14" s="17" t="s">
        <v>30</v>
      </c>
      <c r="G14" s="17"/>
      <c r="H14" s="17" t="s">
        <v>32</v>
      </c>
      <c r="I14" s="17"/>
      <c r="J14" s="17" t="s">
        <v>33</v>
      </c>
      <c r="K14" s="17"/>
      <c r="L14" s="17" t="s">
        <v>201</v>
      </c>
      <c r="M14" s="17"/>
      <c r="N14" s="17" t="s">
        <v>37</v>
      </c>
      <c r="O14" s="17"/>
      <c r="P14" s="17" t="s">
        <v>68</v>
      </c>
      <c r="Q14" s="17"/>
      <c r="R14" s="17" t="s">
        <v>217</v>
      </c>
      <c r="S14" s="20" t="s">
        <v>284</v>
      </c>
      <c r="T14" s="18" t="s">
        <v>23</v>
      </c>
      <c r="U14" s="50" t="s">
        <v>69</v>
      </c>
      <c r="V14" s="50"/>
      <c r="W14" s="50"/>
      <c r="X14" s="18" t="s">
        <v>70</v>
      </c>
      <c r="Y14" s="18" t="s">
        <v>27</v>
      </c>
      <c r="Z14" s="18" t="s">
        <v>25</v>
      </c>
      <c r="AA14" s="18" t="s">
        <v>34</v>
      </c>
      <c r="AB14" s="20" t="s">
        <v>258</v>
      </c>
    </row>
    <row r="15" spans="1:28" x14ac:dyDescent="0.35">
      <c r="A15" s="21" t="s">
        <v>285</v>
      </c>
      <c r="B15">
        <v>1557</v>
      </c>
      <c r="C15">
        <v>1</v>
      </c>
      <c r="D15" s="17" t="s">
        <v>29</v>
      </c>
      <c r="E15" s="17"/>
      <c r="F15" s="17" t="s">
        <v>30</v>
      </c>
      <c r="G15" s="17"/>
      <c r="H15" s="17" t="s">
        <v>32</v>
      </c>
      <c r="I15" s="17"/>
      <c r="J15" s="17" t="s">
        <v>33</v>
      </c>
      <c r="K15" s="17"/>
      <c r="L15" s="17" t="s">
        <v>201</v>
      </c>
      <c r="M15" s="17"/>
      <c r="N15" s="17" t="s">
        <v>37</v>
      </c>
      <c r="O15" s="17"/>
      <c r="P15" s="17" t="s">
        <v>71</v>
      </c>
      <c r="Q15" s="17"/>
      <c r="R15" s="17" t="s">
        <v>218</v>
      </c>
      <c r="S15" s="20" t="s">
        <v>286</v>
      </c>
      <c r="T15" s="18" t="s">
        <v>23</v>
      </c>
      <c r="U15" s="50" t="s">
        <v>72</v>
      </c>
      <c r="V15" s="50"/>
      <c r="W15" s="50"/>
      <c r="X15" s="18" t="s">
        <v>73</v>
      </c>
      <c r="Y15" s="18" t="s">
        <v>27</v>
      </c>
      <c r="Z15" s="18" t="s">
        <v>25</v>
      </c>
      <c r="AA15" s="18" t="s">
        <v>34</v>
      </c>
      <c r="AB15" s="20" t="s">
        <v>258</v>
      </c>
    </row>
    <row r="16" spans="1:28" x14ac:dyDescent="0.35">
      <c r="A16" s="21" t="s">
        <v>287</v>
      </c>
      <c r="B16">
        <v>1558</v>
      </c>
      <c r="C16">
        <v>1</v>
      </c>
      <c r="D16" s="17" t="s">
        <v>29</v>
      </c>
      <c r="E16" s="17"/>
      <c r="F16" s="17" t="s">
        <v>30</v>
      </c>
      <c r="G16" s="17"/>
      <c r="H16" s="17" t="s">
        <v>32</v>
      </c>
      <c r="I16" s="17"/>
      <c r="J16" s="17" t="s">
        <v>33</v>
      </c>
      <c r="K16" s="17"/>
      <c r="L16" s="17" t="s">
        <v>201</v>
      </c>
      <c r="M16" s="17"/>
      <c r="N16" s="17" t="s">
        <v>37</v>
      </c>
      <c r="O16" s="17"/>
      <c r="P16" s="17" t="s">
        <v>71</v>
      </c>
      <c r="Q16" s="17"/>
      <c r="R16" s="17" t="s">
        <v>219</v>
      </c>
      <c r="S16" s="20" t="s">
        <v>288</v>
      </c>
      <c r="T16" s="18" t="s">
        <v>23</v>
      </c>
      <c r="U16" s="50" t="s">
        <v>74</v>
      </c>
      <c r="V16" s="50"/>
      <c r="W16" s="50"/>
      <c r="X16" s="18" t="s">
        <v>75</v>
      </c>
      <c r="Y16" s="18" t="s">
        <v>27</v>
      </c>
      <c r="Z16" s="18" t="s">
        <v>25</v>
      </c>
      <c r="AA16" s="18" t="s">
        <v>34</v>
      </c>
      <c r="AB16" s="20" t="s">
        <v>258</v>
      </c>
    </row>
    <row r="17" spans="1:28" x14ac:dyDescent="0.35">
      <c r="A17" s="21" t="s">
        <v>289</v>
      </c>
      <c r="B17">
        <v>1559</v>
      </c>
      <c r="C17">
        <v>1</v>
      </c>
      <c r="D17" s="17" t="s">
        <v>29</v>
      </c>
      <c r="E17" s="17"/>
      <c r="F17" s="17" t="s">
        <v>30</v>
      </c>
      <c r="G17" s="17"/>
      <c r="H17" s="17" t="s">
        <v>32</v>
      </c>
      <c r="I17" s="17"/>
      <c r="J17" s="17" t="s">
        <v>33</v>
      </c>
      <c r="K17" s="17"/>
      <c r="L17" s="17" t="s">
        <v>201</v>
      </c>
      <c r="M17" s="17"/>
      <c r="N17" s="17" t="s">
        <v>37</v>
      </c>
      <c r="O17" s="17"/>
      <c r="P17" s="17" t="s">
        <v>71</v>
      </c>
      <c r="Q17" s="17"/>
      <c r="R17" s="17" t="s">
        <v>220</v>
      </c>
      <c r="S17" s="20" t="s">
        <v>290</v>
      </c>
      <c r="T17" s="18" t="s">
        <v>23</v>
      </c>
      <c r="U17" s="50" t="s">
        <v>76</v>
      </c>
      <c r="V17" s="50"/>
      <c r="W17" s="50"/>
      <c r="X17" s="18" t="s">
        <v>77</v>
      </c>
      <c r="Y17" s="18" t="s">
        <v>27</v>
      </c>
      <c r="Z17" s="18" t="s">
        <v>25</v>
      </c>
      <c r="AA17" s="18" t="s">
        <v>34</v>
      </c>
      <c r="AB17" s="20" t="s">
        <v>258</v>
      </c>
    </row>
    <row r="18" spans="1:28" x14ac:dyDescent="0.35">
      <c r="A18" s="21" t="s">
        <v>291</v>
      </c>
      <c r="B18">
        <v>1560</v>
      </c>
      <c r="C18">
        <v>1</v>
      </c>
      <c r="D18" s="17" t="s">
        <v>29</v>
      </c>
      <c r="E18" s="17"/>
      <c r="F18" s="17" t="s">
        <v>30</v>
      </c>
      <c r="G18" s="17"/>
      <c r="H18" s="17" t="s">
        <v>32</v>
      </c>
      <c r="I18" s="17"/>
      <c r="J18" s="17" t="s">
        <v>33</v>
      </c>
      <c r="K18" s="17"/>
      <c r="L18" s="17" t="s">
        <v>201</v>
      </c>
      <c r="M18" s="17"/>
      <c r="N18" s="17" t="s">
        <v>37</v>
      </c>
      <c r="O18" s="17"/>
      <c r="P18" s="17" t="s">
        <v>71</v>
      </c>
      <c r="Q18" s="17"/>
      <c r="R18" s="17" t="s">
        <v>221</v>
      </c>
      <c r="S18" s="20" t="s">
        <v>292</v>
      </c>
      <c r="T18" s="18" t="s">
        <v>23</v>
      </c>
      <c r="U18" s="50" t="s">
        <v>78</v>
      </c>
      <c r="V18" s="50"/>
      <c r="W18" s="50"/>
      <c r="X18" s="18" t="s">
        <v>79</v>
      </c>
      <c r="Y18" s="18" t="s">
        <v>27</v>
      </c>
      <c r="Z18" s="18" t="s">
        <v>25</v>
      </c>
      <c r="AA18" s="18" t="s">
        <v>34</v>
      </c>
      <c r="AB18" s="20" t="s">
        <v>258</v>
      </c>
    </row>
    <row r="19" spans="1:28" x14ac:dyDescent="0.35">
      <c r="A19" s="21" t="s">
        <v>293</v>
      </c>
      <c r="B19">
        <v>1561</v>
      </c>
      <c r="C19">
        <v>1</v>
      </c>
      <c r="D19" s="17" t="s">
        <v>29</v>
      </c>
      <c r="E19" s="17"/>
      <c r="F19" s="17" t="s">
        <v>30</v>
      </c>
      <c r="G19" s="17"/>
      <c r="H19" s="17" t="s">
        <v>32</v>
      </c>
      <c r="I19" s="17"/>
      <c r="J19" s="17" t="s">
        <v>33</v>
      </c>
      <c r="K19" s="17"/>
      <c r="L19" s="17" t="s">
        <v>201</v>
      </c>
      <c r="M19" s="17"/>
      <c r="N19" s="17" t="s">
        <v>37</v>
      </c>
      <c r="O19" s="17"/>
      <c r="P19" s="17" t="s">
        <v>71</v>
      </c>
      <c r="Q19" s="17"/>
      <c r="R19" s="17" t="s">
        <v>222</v>
      </c>
      <c r="S19" s="20" t="s">
        <v>294</v>
      </c>
      <c r="T19" s="18" t="s">
        <v>23</v>
      </c>
      <c r="U19" s="50" t="s">
        <v>80</v>
      </c>
      <c r="V19" s="50"/>
      <c r="W19" s="50"/>
      <c r="X19" s="18" t="s">
        <v>81</v>
      </c>
      <c r="Y19" s="18" t="s">
        <v>27</v>
      </c>
      <c r="Z19" s="18" t="s">
        <v>25</v>
      </c>
      <c r="AA19" s="18" t="s">
        <v>34</v>
      </c>
      <c r="AB19" s="20" t="s">
        <v>258</v>
      </c>
    </row>
    <row r="20" spans="1:28" x14ac:dyDescent="0.35">
      <c r="A20" s="21" t="s">
        <v>295</v>
      </c>
      <c r="B20">
        <v>1562</v>
      </c>
      <c r="C20">
        <v>1</v>
      </c>
      <c r="D20" s="17" t="s">
        <v>29</v>
      </c>
      <c r="E20" s="17"/>
      <c r="F20" s="17" t="s">
        <v>30</v>
      </c>
      <c r="G20" s="17"/>
      <c r="H20" s="17" t="s">
        <v>32</v>
      </c>
      <c r="I20" s="17"/>
      <c r="J20" s="17" t="s">
        <v>33</v>
      </c>
      <c r="K20" s="17"/>
      <c r="L20" s="17" t="s">
        <v>201</v>
      </c>
      <c r="M20" s="17"/>
      <c r="N20" s="17" t="s">
        <v>37</v>
      </c>
      <c r="O20" s="17"/>
      <c r="P20" s="17" t="s">
        <v>71</v>
      </c>
      <c r="Q20" s="17"/>
      <c r="R20" s="17" t="s">
        <v>223</v>
      </c>
      <c r="S20" s="20" t="s">
        <v>296</v>
      </c>
      <c r="T20" s="18" t="s">
        <v>23</v>
      </c>
      <c r="U20" s="50" t="s">
        <v>82</v>
      </c>
      <c r="V20" s="50"/>
      <c r="W20" s="50"/>
      <c r="X20" s="18" t="s">
        <v>83</v>
      </c>
      <c r="Y20" s="18" t="s">
        <v>27</v>
      </c>
      <c r="Z20" s="18" t="s">
        <v>25</v>
      </c>
      <c r="AA20" s="18" t="s">
        <v>34</v>
      </c>
      <c r="AB20" s="20" t="s">
        <v>258</v>
      </c>
    </row>
    <row r="21" spans="1:28" x14ac:dyDescent="0.35">
      <c r="A21" s="21" t="s">
        <v>297</v>
      </c>
      <c r="B21">
        <v>1563</v>
      </c>
      <c r="C21">
        <v>1</v>
      </c>
      <c r="D21" s="17" t="s">
        <v>29</v>
      </c>
      <c r="E21" s="17"/>
      <c r="F21" s="17" t="s">
        <v>30</v>
      </c>
      <c r="G21" s="17"/>
      <c r="H21" s="17" t="s">
        <v>32</v>
      </c>
      <c r="I21" s="17"/>
      <c r="J21" s="17" t="s">
        <v>33</v>
      </c>
      <c r="K21" s="17"/>
      <c r="L21" s="17" t="s">
        <v>201</v>
      </c>
      <c r="M21" s="17"/>
      <c r="N21" s="17" t="s">
        <v>37</v>
      </c>
      <c r="O21" s="17"/>
      <c r="P21" s="17" t="s">
        <v>71</v>
      </c>
      <c r="Q21" s="17"/>
      <c r="R21" s="17" t="s">
        <v>224</v>
      </c>
      <c r="S21" s="20" t="s">
        <v>298</v>
      </c>
      <c r="T21" s="18" t="s">
        <v>23</v>
      </c>
      <c r="U21" s="50" t="s">
        <v>84</v>
      </c>
      <c r="V21" s="50"/>
      <c r="W21" s="50"/>
      <c r="X21" s="18" t="s">
        <v>85</v>
      </c>
      <c r="Y21" s="18" t="s">
        <v>27</v>
      </c>
      <c r="Z21" s="18" t="s">
        <v>25</v>
      </c>
      <c r="AA21" s="18" t="s">
        <v>34</v>
      </c>
      <c r="AB21" s="20" t="s">
        <v>258</v>
      </c>
    </row>
    <row r="22" spans="1:28" x14ac:dyDescent="0.35">
      <c r="A22" s="21" t="s">
        <v>299</v>
      </c>
      <c r="B22">
        <v>1564</v>
      </c>
      <c r="C22">
        <v>1</v>
      </c>
      <c r="D22" s="17" t="s">
        <v>29</v>
      </c>
      <c r="E22" s="17"/>
      <c r="F22" s="17" t="s">
        <v>30</v>
      </c>
      <c r="G22" s="17"/>
      <c r="H22" s="17" t="s">
        <v>32</v>
      </c>
      <c r="I22" s="17"/>
      <c r="J22" s="17" t="s">
        <v>33</v>
      </c>
      <c r="K22" s="17"/>
      <c r="L22" s="17" t="s">
        <v>201</v>
      </c>
      <c r="M22" s="17"/>
      <c r="N22" s="17" t="s">
        <v>37</v>
      </c>
      <c r="O22" s="17"/>
      <c r="P22" s="17" t="s">
        <v>71</v>
      </c>
      <c r="Q22" s="17"/>
      <c r="R22" s="17" t="s">
        <v>225</v>
      </c>
      <c r="S22" s="20" t="s">
        <v>300</v>
      </c>
      <c r="T22" s="18" t="s">
        <v>23</v>
      </c>
      <c r="U22" s="50" t="s">
        <v>86</v>
      </c>
      <c r="V22" s="50"/>
      <c r="W22" s="50"/>
      <c r="X22" s="18" t="s">
        <v>87</v>
      </c>
      <c r="Y22" s="18" t="s">
        <v>27</v>
      </c>
      <c r="Z22" s="18" t="s">
        <v>25</v>
      </c>
      <c r="AA22" s="18" t="s">
        <v>34</v>
      </c>
      <c r="AB22" s="20" t="s">
        <v>258</v>
      </c>
    </row>
    <row r="23" spans="1:28" x14ac:dyDescent="0.35">
      <c r="A23" s="21" t="s">
        <v>301</v>
      </c>
      <c r="B23">
        <v>1565</v>
      </c>
      <c r="C23">
        <v>1</v>
      </c>
      <c r="D23" s="17" t="s">
        <v>29</v>
      </c>
      <c r="E23" s="17"/>
      <c r="F23" s="17" t="s">
        <v>30</v>
      </c>
      <c r="G23" s="17"/>
      <c r="H23" s="17" t="s">
        <v>32</v>
      </c>
      <c r="I23" s="17"/>
      <c r="J23" s="17" t="s">
        <v>33</v>
      </c>
      <c r="K23" s="17"/>
      <c r="L23" s="17" t="s">
        <v>201</v>
      </c>
      <c r="M23" s="17"/>
      <c r="N23" s="17" t="s">
        <v>37</v>
      </c>
      <c r="O23" s="17"/>
      <c r="P23" s="17" t="s">
        <v>71</v>
      </c>
      <c r="Q23" s="17"/>
      <c r="R23" s="17" t="s">
        <v>226</v>
      </c>
      <c r="S23" s="20" t="s">
        <v>302</v>
      </c>
      <c r="T23" s="18" t="s">
        <v>23</v>
      </c>
      <c r="U23" s="50" t="s">
        <v>88</v>
      </c>
      <c r="V23" s="50"/>
      <c r="W23" s="50"/>
      <c r="X23" s="18" t="s">
        <v>89</v>
      </c>
      <c r="Y23" s="18" t="s">
        <v>27</v>
      </c>
      <c r="Z23" s="18" t="s">
        <v>25</v>
      </c>
      <c r="AA23" s="18" t="s">
        <v>34</v>
      </c>
      <c r="AB23" s="20" t="s">
        <v>258</v>
      </c>
    </row>
    <row r="24" spans="1:28" x14ac:dyDescent="0.35">
      <c r="A24" s="21" t="s">
        <v>303</v>
      </c>
      <c r="B24">
        <v>1566</v>
      </c>
      <c r="C24">
        <v>1</v>
      </c>
      <c r="D24" s="17" t="s">
        <v>29</v>
      </c>
      <c r="E24" s="17"/>
      <c r="F24" s="17" t="s">
        <v>30</v>
      </c>
      <c r="G24" s="17"/>
      <c r="H24" s="17" t="s">
        <v>32</v>
      </c>
      <c r="I24" s="17"/>
      <c r="J24" s="17" t="s">
        <v>33</v>
      </c>
      <c r="K24" s="17"/>
      <c r="L24" s="17" t="s">
        <v>201</v>
      </c>
      <c r="M24" s="17"/>
      <c r="N24" s="17" t="s">
        <v>37</v>
      </c>
      <c r="O24" s="17"/>
      <c r="P24" s="17" t="s">
        <v>90</v>
      </c>
      <c r="Q24" s="17"/>
      <c r="R24" s="17" t="s">
        <v>227</v>
      </c>
      <c r="S24" s="20" t="s">
        <v>304</v>
      </c>
      <c r="T24" s="18" t="s">
        <v>23</v>
      </c>
      <c r="U24" s="50" t="s">
        <v>91</v>
      </c>
      <c r="V24" s="50"/>
      <c r="W24" s="50"/>
      <c r="X24" s="18" t="s">
        <v>92</v>
      </c>
      <c r="Y24" s="18" t="s">
        <v>27</v>
      </c>
      <c r="Z24" s="18" t="s">
        <v>25</v>
      </c>
      <c r="AA24" s="18" t="s">
        <v>34</v>
      </c>
      <c r="AB24" s="20" t="s">
        <v>258</v>
      </c>
    </row>
    <row r="25" spans="1:28" x14ac:dyDescent="0.35">
      <c r="A25" s="21" t="s">
        <v>305</v>
      </c>
      <c r="B25">
        <v>1567</v>
      </c>
      <c r="C25">
        <v>1</v>
      </c>
      <c r="D25" s="17" t="s">
        <v>29</v>
      </c>
      <c r="E25" s="17"/>
      <c r="F25" s="17" t="s">
        <v>30</v>
      </c>
      <c r="G25" s="17"/>
      <c r="H25" s="17" t="s">
        <v>32</v>
      </c>
      <c r="I25" s="17"/>
      <c r="J25" s="17" t="s">
        <v>33</v>
      </c>
      <c r="K25" s="17"/>
      <c r="L25" s="17" t="s">
        <v>201</v>
      </c>
      <c r="M25" s="17"/>
      <c r="N25" s="17" t="s">
        <v>37</v>
      </c>
      <c r="O25" s="17"/>
      <c r="P25" s="17" t="s">
        <v>90</v>
      </c>
      <c r="Q25" s="17"/>
      <c r="R25" s="17" t="s">
        <v>228</v>
      </c>
      <c r="S25" s="20" t="s">
        <v>306</v>
      </c>
      <c r="T25" s="18" t="s">
        <v>23</v>
      </c>
      <c r="U25" s="50" t="s">
        <v>93</v>
      </c>
      <c r="V25" s="50"/>
      <c r="W25" s="50"/>
      <c r="X25" s="18" t="s">
        <v>94</v>
      </c>
      <c r="Y25" s="18" t="s">
        <v>27</v>
      </c>
      <c r="Z25" s="18" t="s">
        <v>25</v>
      </c>
      <c r="AA25" s="18" t="s">
        <v>34</v>
      </c>
      <c r="AB25" s="20" t="s">
        <v>258</v>
      </c>
    </row>
    <row r="26" spans="1:28" x14ac:dyDescent="0.35">
      <c r="A26" s="21" t="s">
        <v>307</v>
      </c>
      <c r="B26">
        <v>1568</v>
      </c>
      <c r="C26">
        <v>1</v>
      </c>
      <c r="D26" s="17" t="s">
        <v>29</v>
      </c>
      <c r="E26" s="17"/>
      <c r="F26" s="17" t="s">
        <v>30</v>
      </c>
      <c r="G26" s="17"/>
      <c r="H26" s="17" t="s">
        <v>32</v>
      </c>
      <c r="I26" s="17"/>
      <c r="J26" s="17" t="s">
        <v>33</v>
      </c>
      <c r="K26" s="17"/>
      <c r="L26" s="17" t="s">
        <v>201</v>
      </c>
      <c r="M26" s="17"/>
      <c r="N26" s="17" t="s">
        <v>37</v>
      </c>
      <c r="O26" s="17"/>
      <c r="P26" s="17" t="s">
        <v>90</v>
      </c>
      <c r="Q26" s="17"/>
      <c r="R26" s="17" t="s">
        <v>229</v>
      </c>
      <c r="S26" s="20" t="s">
        <v>308</v>
      </c>
      <c r="T26" s="18" t="s">
        <v>23</v>
      </c>
      <c r="U26" s="50" t="s">
        <v>95</v>
      </c>
      <c r="V26" s="50"/>
      <c r="W26" s="50"/>
      <c r="X26" s="18" t="s">
        <v>96</v>
      </c>
      <c r="Y26" s="18" t="s">
        <v>27</v>
      </c>
      <c r="Z26" s="18" t="s">
        <v>25</v>
      </c>
      <c r="AA26" s="18" t="s">
        <v>34</v>
      </c>
      <c r="AB26" s="20" t="s">
        <v>258</v>
      </c>
    </row>
    <row r="27" spans="1:28" x14ac:dyDescent="0.35">
      <c r="A27" s="21" t="s">
        <v>309</v>
      </c>
      <c r="B27">
        <v>1569</v>
      </c>
      <c r="C27">
        <v>1</v>
      </c>
      <c r="D27" s="17" t="s">
        <v>29</v>
      </c>
      <c r="E27" s="17"/>
      <c r="F27" s="17" t="s">
        <v>30</v>
      </c>
      <c r="G27" s="17"/>
      <c r="H27" s="17" t="s">
        <v>32</v>
      </c>
      <c r="I27" s="17"/>
      <c r="J27" s="17" t="s">
        <v>33</v>
      </c>
      <c r="K27" s="17"/>
      <c r="L27" s="17" t="s">
        <v>201</v>
      </c>
      <c r="M27" s="17"/>
      <c r="N27" s="17" t="s">
        <v>37</v>
      </c>
      <c r="O27" s="17"/>
      <c r="P27" s="17" t="s">
        <v>97</v>
      </c>
      <c r="Q27" s="17"/>
      <c r="R27" s="17" t="s">
        <v>230</v>
      </c>
      <c r="S27" s="20" t="s">
        <v>310</v>
      </c>
      <c r="T27" s="18" t="s">
        <v>23</v>
      </c>
      <c r="U27" s="50" t="s">
        <v>98</v>
      </c>
      <c r="V27" s="50"/>
      <c r="W27" s="50"/>
      <c r="X27" s="18" t="s">
        <v>99</v>
      </c>
      <c r="Y27" s="18" t="s">
        <v>27</v>
      </c>
      <c r="Z27" s="18" t="s">
        <v>25</v>
      </c>
      <c r="AA27" s="18" t="s">
        <v>34</v>
      </c>
      <c r="AB27" s="20" t="s">
        <v>258</v>
      </c>
    </row>
    <row r="28" spans="1:28" x14ac:dyDescent="0.35">
      <c r="A28" s="21" t="s">
        <v>311</v>
      </c>
      <c r="B28">
        <v>1570</v>
      </c>
      <c r="C28">
        <v>1</v>
      </c>
      <c r="D28" s="17" t="s">
        <v>29</v>
      </c>
      <c r="E28" s="17"/>
      <c r="F28" s="17" t="s">
        <v>30</v>
      </c>
      <c r="G28" s="17"/>
      <c r="H28" s="17" t="s">
        <v>32</v>
      </c>
      <c r="I28" s="17"/>
      <c r="J28" s="17" t="s">
        <v>33</v>
      </c>
      <c r="K28" s="17"/>
      <c r="L28" s="17" t="s">
        <v>201</v>
      </c>
      <c r="M28" s="17"/>
      <c r="N28" s="17" t="s">
        <v>37</v>
      </c>
      <c r="O28" s="17"/>
      <c r="P28" s="17" t="s">
        <v>97</v>
      </c>
      <c r="Q28" s="17"/>
      <c r="R28" s="17" t="s">
        <v>231</v>
      </c>
      <c r="S28" s="20" t="s">
        <v>312</v>
      </c>
      <c r="T28" s="18" t="s">
        <v>23</v>
      </c>
      <c r="U28" s="50" t="s">
        <v>100</v>
      </c>
      <c r="V28" s="50"/>
      <c r="W28" s="50"/>
      <c r="X28" s="18" t="s">
        <v>101</v>
      </c>
      <c r="Y28" s="18" t="s">
        <v>27</v>
      </c>
      <c r="Z28" s="18" t="s">
        <v>25</v>
      </c>
      <c r="AA28" s="18" t="s">
        <v>34</v>
      </c>
      <c r="AB28" s="20" t="s">
        <v>258</v>
      </c>
    </row>
    <row r="29" spans="1:28" x14ac:dyDescent="0.35">
      <c r="A29" s="21" t="s">
        <v>313</v>
      </c>
      <c r="B29">
        <v>1571</v>
      </c>
      <c r="C29">
        <v>1</v>
      </c>
      <c r="D29" s="17" t="s">
        <v>29</v>
      </c>
      <c r="E29" s="17"/>
      <c r="F29" s="17" t="s">
        <v>30</v>
      </c>
      <c r="G29" s="17"/>
      <c r="H29" s="17" t="s">
        <v>32</v>
      </c>
      <c r="I29" s="17"/>
      <c r="J29" s="17" t="s">
        <v>33</v>
      </c>
      <c r="K29" s="17"/>
      <c r="L29" s="17" t="s">
        <v>201</v>
      </c>
      <c r="M29" s="17"/>
      <c r="N29" s="17" t="s">
        <v>37</v>
      </c>
      <c r="O29" s="17"/>
      <c r="P29" s="17" t="s">
        <v>97</v>
      </c>
      <c r="Q29" s="17"/>
      <c r="R29" s="17" t="s">
        <v>232</v>
      </c>
      <c r="S29" s="20" t="s">
        <v>314</v>
      </c>
      <c r="T29" s="18" t="s">
        <v>23</v>
      </c>
      <c r="U29" s="50" t="s">
        <v>102</v>
      </c>
      <c r="V29" s="50"/>
      <c r="W29" s="50"/>
      <c r="X29" s="18" t="s">
        <v>103</v>
      </c>
      <c r="Y29" s="18" t="s">
        <v>27</v>
      </c>
      <c r="Z29" s="18" t="s">
        <v>25</v>
      </c>
      <c r="AA29" s="18" t="s">
        <v>34</v>
      </c>
      <c r="AB29" s="20" t="s">
        <v>258</v>
      </c>
    </row>
    <row r="30" spans="1:28" x14ac:dyDescent="0.35">
      <c r="A30" s="21" t="s">
        <v>315</v>
      </c>
      <c r="B30">
        <v>1572</v>
      </c>
      <c r="C30">
        <v>1</v>
      </c>
      <c r="D30" s="17" t="s">
        <v>29</v>
      </c>
      <c r="E30" s="17"/>
      <c r="F30" s="17" t="s">
        <v>30</v>
      </c>
      <c r="G30" s="17"/>
      <c r="H30" s="17" t="s">
        <v>32</v>
      </c>
      <c r="I30" s="17"/>
      <c r="J30" s="17" t="s">
        <v>33</v>
      </c>
      <c r="K30" s="17"/>
      <c r="L30" s="17" t="s">
        <v>201</v>
      </c>
      <c r="M30" s="17"/>
      <c r="N30" s="17" t="s">
        <v>37</v>
      </c>
      <c r="O30" s="17"/>
      <c r="P30" s="17" t="s">
        <v>97</v>
      </c>
      <c r="Q30" s="17"/>
      <c r="R30" s="17" t="s">
        <v>233</v>
      </c>
      <c r="S30" s="20" t="s">
        <v>316</v>
      </c>
      <c r="T30" s="18" t="s">
        <v>23</v>
      </c>
      <c r="U30" s="50" t="s">
        <v>104</v>
      </c>
      <c r="V30" s="50"/>
      <c r="W30" s="50"/>
      <c r="X30" s="18" t="s">
        <v>105</v>
      </c>
      <c r="Y30" s="18" t="s">
        <v>27</v>
      </c>
      <c r="Z30" s="18" t="s">
        <v>25</v>
      </c>
      <c r="AA30" s="18" t="s">
        <v>34</v>
      </c>
      <c r="AB30" s="20" t="s">
        <v>258</v>
      </c>
    </row>
    <row r="31" spans="1:28" x14ac:dyDescent="0.35">
      <c r="A31" s="21" t="s">
        <v>317</v>
      </c>
      <c r="B31">
        <v>1573</v>
      </c>
      <c r="C31">
        <v>1</v>
      </c>
      <c r="D31" s="17" t="s">
        <v>29</v>
      </c>
      <c r="E31" s="17"/>
      <c r="F31" s="17" t="s">
        <v>30</v>
      </c>
      <c r="G31" s="17"/>
      <c r="H31" s="17" t="s">
        <v>32</v>
      </c>
      <c r="I31" s="17"/>
      <c r="J31" s="17" t="s">
        <v>33</v>
      </c>
      <c r="K31" s="17"/>
      <c r="L31" s="17" t="s">
        <v>201</v>
      </c>
      <c r="M31" s="17"/>
      <c r="N31" s="17" t="s">
        <v>37</v>
      </c>
      <c r="O31" s="17"/>
      <c r="P31" s="17" t="s">
        <v>97</v>
      </c>
      <c r="Q31" s="17"/>
      <c r="R31" s="17" t="s">
        <v>234</v>
      </c>
      <c r="S31" s="20" t="s">
        <v>318</v>
      </c>
      <c r="T31" s="18" t="s">
        <v>23</v>
      </c>
      <c r="U31" s="50" t="s">
        <v>106</v>
      </c>
      <c r="V31" s="50"/>
      <c r="W31" s="50"/>
      <c r="X31" s="18" t="s">
        <v>107</v>
      </c>
      <c r="Y31" s="18" t="s">
        <v>27</v>
      </c>
      <c r="Z31" s="18" t="s">
        <v>25</v>
      </c>
      <c r="AA31" s="18" t="s">
        <v>34</v>
      </c>
      <c r="AB31" s="20" t="s">
        <v>258</v>
      </c>
    </row>
    <row r="32" spans="1:28" x14ac:dyDescent="0.35">
      <c r="A32" s="21" t="s">
        <v>319</v>
      </c>
      <c r="B32">
        <v>1574</v>
      </c>
      <c r="C32">
        <v>1</v>
      </c>
      <c r="D32" s="17" t="s">
        <v>29</v>
      </c>
      <c r="E32" s="17"/>
      <c r="F32" s="17" t="s">
        <v>30</v>
      </c>
      <c r="G32" s="17"/>
      <c r="H32" s="17" t="s">
        <v>32</v>
      </c>
      <c r="I32" s="17"/>
      <c r="J32" s="17" t="s">
        <v>33</v>
      </c>
      <c r="K32" s="17"/>
      <c r="L32" s="17" t="s">
        <v>201</v>
      </c>
      <c r="M32" s="17"/>
      <c r="N32" s="17" t="s">
        <v>37</v>
      </c>
      <c r="O32" s="17"/>
      <c r="P32" s="17" t="s">
        <v>108</v>
      </c>
      <c r="Q32" s="17"/>
      <c r="R32" s="17" t="s">
        <v>235</v>
      </c>
      <c r="S32" s="20" t="s">
        <v>320</v>
      </c>
      <c r="T32" s="18" t="s">
        <v>23</v>
      </c>
      <c r="U32" s="50" t="s">
        <v>111</v>
      </c>
      <c r="V32" s="50"/>
      <c r="W32" s="50"/>
      <c r="X32" s="18" t="s">
        <v>112</v>
      </c>
      <c r="Y32" s="18" t="s">
        <v>27</v>
      </c>
      <c r="Z32" s="18" t="s">
        <v>25</v>
      </c>
      <c r="AA32" s="18" t="s">
        <v>34</v>
      </c>
      <c r="AB32" s="20" t="s">
        <v>258</v>
      </c>
    </row>
    <row r="33" spans="1:28" x14ac:dyDescent="0.35">
      <c r="A33" s="21" t="s">
        <v>321</v>
      </c>
      <c r="B33">
        <v>1575</v>
      </c>
      <c r="C33">
        <v>1</v>
      </c>
      <c r="D33" s="17" t="s">
        <v>29</v>
      </c>
      <c r="E33" s="17"/>
      <c r="F33" s="17" t="s">
        <v>30</v>
      </c>
      <c r="G33" s="17"/>
      <c r="H33" s="17" t="s">
        <v>32</v>
      </c>
      <c r="I33" s="17"/>
      <c r="J33" s="17" t="s">
        <v>33</v>
      </c>
      <c r="K33" s="17"/>
      <c r="L33" s="17" t="s">
        <v>201</v>
      </c>
      <c r="M33" s="17"/>
      <c r="N33" s="17" t="s">
        <v>37</v>
      </c>
      <c r="O33" s="17"/>
      <c r="P33" s="17" t="s">
        <v>108</v>
      </c>
      <c r="Q33" s="17"/>
      <c r="R33" s="17" t="s">
        <v>236</v>
      </c>
      <c r="S33" s="20" t="s">
        <v>322</v>
      </c>
      <c r="T33" s="18" t="s">
        <v>23</v>
      </c>
      <c r="U33" s="50" t="s">
        <v>113</v>
      </c>
      <c r="V33" s="50"/>
      <c r="W33" s="50"/>
      <c r="X33" s="18" t="s">
        <v>114</v>
      </c>
      <c r="Y33" s="18" t="s">
        <v>27</v>
      </c>
      <c r="Z33" s="18" t="s">
        <v>25</v>
      </c>
      <c r="AA33" s="18" t="s">
        <v>34</v>
      </c>
      <c r="AB33" s="20" t="s">
        <v>258</v>
      </c>
    </row>
    <row r="34" spans="1:28" x14ac:dyDescent="0.35">
      <c r="A34" s="21" t="s">
        <v>323</v>
      </c>
      <c r="B34">
        <v>1576</v>
      </c>
      <c r="C34">
        <v>1</v>
      </c>
      <c r="D34" s="17" t="s">
        <v>29</v>
      </c>
      <c r="E34" s="17"/>
      <c r="F34" s="17" t="s">
        <v>30</v>
      </c>
      <c r="G34" s="17"/>
      <c r="H34" s="17" t="s">
        <v>32</v>
      </c>
      <c r="I34" s="17"/>
      <c r="J34" s="17" t="s">
        <v>33</v>
      </c>
      <c r="K34" s="17"/>
      <c r="L34" s="17" t="s">
        <v>201</v>
      </c>
      <c r="M34" s="17"/>
      <c r="N34" s="17" t="s">
        <v>37</v>
      </c>
      <c r="O34" s="17"/>
      <c r="P34" s="17" t="s">
        <v>108</v>
      </c>
      <c r="Q34" s="17"/>
      <c r="R34" s="17" t="s">
        <v>237</v>
      </c>
      <c r="S34" s="20" t="s">
        <v>324</v>
      </c>
      <c r="T34" s="18" t="s">
        <v>23</v>
      </c>
      <c r="U34" s="50" t="s">
        <v>115</v>
      </c>
      <c r="V34" s="50"/>
      <c r="W34" s="50"/>
      <c r="X34" s="18" t="s">
        <v>116</v>
      </c>
      <c r="Y34" s="18" t="s">
        <v>27</v>
      </c>
      <c r="Z34" s="18" t="s">
        <v>25</v>
      </c>
      <c r="AA34" s="18" t="s">
        <v>34</v>
      </c>
      <c r="AB34" s="20" t="s">
        <v>258</v>
      </c>
    </row>
    <row r="35" spans="1:28" x14ac:dyDescent="0.35">
      <c r="A35" s="21" t="s">
        <v>325</v>
      </c>
      <c r="B35">
        <v>1577</v>
      </c>
      <c r="C35">
        <v>1</v>
      </c>
      <c r="D35" s="17" t="s">
        <v>29</v>
      </c>
      <c r="E35" s="17"/>
      <c r="F35" s="17" t="s">
        <v>30</v>
      </c>
      <c r="G35" s="17"/>
      <c r="H35" s="17" t="s">
        <v>32</v>
      </c>
      <c r="I35" s="17"/>
      <c r="J35" s="17" t="s">
        <v>33</v>
      </c>
      <c r="K35" s="17"/>
      <c r="L35" s="17" t="s">
        <v>201</v>
      </c>
      <c r="M35" s="17"/>
      <c r="N35" s="17" t="s">
        <v>37</v>
      </c>
      <c r="O35" s="17"/>
      <c r="P35" s="17" t="s">
        <v>108</v>
      </c>
      <c r="Q35" s="17"/>
      <c r="R35" s="17" t="s">
        <v>238</v>
      </c>
      <c r="S35" s="20" t="s">
        <v>326</v>
      </c>
      <c r="T35" s="18" t="s">
        <v>23</v>
      </c>
      <c r="U35" s="50" t="s">
        <v>117</v>
      </c>
      <c r="V35" s="50"/>
      <c r="W35" s="50"/>
      <c r="X35" s="18" t="s">
        <v>118</v>
      </c>
      <c r="Y35" s="18" t="s">
        <v>27</v>
      </c>
      <c r="Z35" s="18" t="s">
        <v>25</v>
      </c>
      <c r="AA35" s="18" t="s">
        <v>34</v>
      </c>
      <c r="AB35" s="20" t="s">
        <v>258</v>
      </c>
    </row>
    <row r="36" spans="1:28" x14ac:dyDescent="0.35">
      <c r="A36" s="21" t="s">
        <v>327</v>
      </c>
      <c r="B36">
        <v>1578</v>
      </c>
      <c r="C36">
        <v>1</v>
      </c>
      <c r="D36" s="17" t="s">
        <v>29</v>
      </c>
      <c r="E36" s="17"/>
      <c r="F36" s="17" t="s">
        <v>30</v>
      </c>
      <c r="G36" s="17"/>
      <c r="H36" s="17" t="s">
        <v>32</v>
      </c>
      <c r="I36" s="17"/>
      <c r="J36" s="17" t="s">
        <v>33</v>
      </c>
      <c r="K36" s="17"/>
      <c r="L36" s="17" t="s">
        <v>201</v>
      </c>
      <c r="M36" s="17"/>
      <c r="N36" s="17" t="s">
        <v>37</v>
      </c>
      <c r="O36" s="17"/>
      <c r="P36" s="17" t="s">
        <v>108</v>
      </c>
      <c r="Q36" s="17"/>
      <c r="R36" s="17" t="s">
        <v>239</v>
      </c>
      <c r="S36" s="20" t="s">
        <v>328</v>
      </c>
      <c r="T36" s="18" t="s">
        <v>23</v>
      </c>
      <c r="U36" s="50" t="s">
        <v>119</v>
      </c>
      <c r="V36" s="50"/>
      <c r="W36" s="50"/>
      <c r="X36" s="18" t="s">
        <v>120</v>
      </c>
      <c r="Y36" s="18" t="s">
        <v>27</v>
      </c>
      <c r="Z36" s="18" t="s">
        <v>25</v>
      </c>
      <c r="AA36" s="18" t="s">
        <v>34</v>
      </c>
      <c r="AB36" s="20" t="s">
        <v>258</v>
      </c>
    </row>
    <row r="37" spans="1:28" x14ac:dyDescent="0.35">
      <c r="A37" s="21" t="s">
        <v>329</v>
      </c>
      <c r="B37">
        <v>1579</v>
      </c>
      <c r="C37">
        <v>1</v>
      </c>
      <c r="D37" s="17" t="s">
        <v>29</v>
      </c>
      <c r="E37" s="17"/>
      <c r="F37" s="17" t="s">
        <v>30</v>
      </c>
      <c r="G37" s="17"/>
      <c r="H37" s="17" t="s">
        <v>32</v>
      </c>
      <c r="I37" s="17"/>
      <c r="J37" s="17" t="s">
        <v>33</v>
      </c>
      <c r="K37" s="17"/>
      <c r="L37" s="17" t="s">
        <v>201</v>
      </c>
      <c r="M37" s="17"/>
      <c r="N37" s="17" t="s">
        <v>37</v>
      </c>
      <c r="O37" s="17"/>
      <c r="P37" s="17" t="s">
        <v>108</v>
      </c>
      <c r="Q37" s="17"/>
      <c r="R37" s="17" t="s">
        <v>240</v>
      </c>
      <c r="S37" s="20" t="s">
        <v>330</v>
      </c>
      <c r="T37" s="18" t="s">
        <v>23</v>
      </c>
      <c r="U37" s="50" t="s">
        <v>121</v>
      </c>
      <c r="V37" s="50"/>
      <c r="W37" s="50"/>
      <c r="X37" s="18" t="s">
        <v>122</v>
      </c>
      <c r="Y37" s="18" t="s">
        <v>27</v>
      </c>
      <c r="Z37" s="18" t="s">
        <v>25</v>
      </c>
      <c r="AA37" s="18" t="s">
        <v>34</v>
      </c>
      <c r="AB37" s="20" t="s">
        <v>258</v>
      </c>
    </row>
    <row r="38" spans="1:28" x14ac:dyDescent="0.35">
      <c r="A38" s="21" t="s">
        <v>331</v>
      </c>
      <c r="B38">
        <v>1580</v>
      </c>
      <c r="C38">
        <v>1</v>
      </c>
      <c r="D38" s="17" t="s">
        <v>29</v>
      </c>
      <c r="E38" s="17"/>
      <c r="F38" s="17" t="s">
        <v>30</v>
      </c>
      <c r="G38" s="17"/>
      <c r="H38" s="17" t="s">
        <v>32</v>
      </c>
      <c r="I38" s="17"/>
      <c r="J38" s="17" t="s">
        <v>33</v>
      </c>
      <c r="K38" s="17"/>
      <c r="L38" s="17" t="s">
        <v>201</v>
      </c>
      <c r="M38" s="17"/>
      <c r="N38" s="17" t="s">
        <v>37</v>
      </c>
      <c r="O38" s="17"/>
      <c r="P38" s="17" t="s">
        <v>108</v>
      </c>
      <c r="Q38" s="17"/>
      <c r="R38" s="17" t="s">
        <v>241</v>
      </c>
      <c r="S38" s="20" t="s">
        <v>332</v>
      </c>
      <c r="T38" s="18" t="s">
        <v>23</v>
      </c>
      <c r="U38" s="50" t="s">
        <v>123</v>
      </c>
      <c r="V38" s="50"/>
      <c r="W38" s="50"/>
      <c r="X38" s="18" t="s">
        <v>124</v>
      </c>
      <c r="Y38" s="18" t="s">
        <v>27</v>
      </c>
      <c r="Z38" s="18" t="s">
        <v>25</v>
      </c>
      <c r="AA38" s="18" t="s">
        <v>34</v>
      </c>
      <c r="AB38" s="20" t="s">
        <v>258</v>
      </c>
    </row>
    <row r="39" spans="1:28" x14ac:dyDescent="0.35">
      <c r="A39" s="21" t="s">
        <v>333</v>
      </c>
      <c r="B39">
        <v>1581</v>
      </c>
      <c r="C39">
        <v>1</v>
      </c>
      <c r="D39" s="17" t="s">
        <v>29</v>
      </c>
      <c r="E39" s="17"/>
      <c r="F39" s="17" t="s">
        <v>30</v>
      </c>
      <c r="G39" s="17"/>
      <c r="H39" s="17" t="s">
        <v>32</v>
      </c>
      <c r="I39" s="17"/>
      <c r="J39" s="17" t="s">
        <v>33</v>
      </c>
      <c r="K39" s="17"/>
      <c r="L39" s="17" t="s">
        <v>201</v>
      </c>
      <c r="M39" s="17"/>
      <c r="N39" s="17" t="s">
        <v>37</v>
      </c>
      <c r="O39" s="17"/>
      <c r="P39" s="17" t="s">
        <v>108</v>
      </c>
      <c r="Q39" s="17"/>
      <c r="R39" s="17" t="s">
        <v>242</v>
      </c>
      <c r="S39" s="20" t="s">
        <v>334</v>
      </c>
      <c r="T39" s="18" t="s">
        <v>23</v>
      </c>
      <c r="U39" s="50" t="s">
        <v>109</v>
      </c>
      <c r="V39" s="50"/>
      <c r="W39" s="50"/>
      <c r="X39" s="18" t="s">
        <v>110</v>
      </c>
      <c r="Y39" s="18" t="s">
        <v>27</v>
      </c>
      <c r="Z39" s="18" t="s">
        <v>25</v>
      </c>
      <c r="AA39" s="18" t="s">
        <v>34</v>
      </c>
      <c r="AB39" s="20" t="s">
        <v>258</v>
      </c>
    </row>
  </sheetData>
  <conditionalFormatting sqref="B2:AB39 A1:AB1">
    <cfRule type="expression" dxfId="1" priority="1">
      <formula>NOT(EXACT(A1,INDEX(#REF!,MATCH($A1,#REF!,0))))</formula>
    </cfRule>
  </conditionalFormatting>
  <conditionalFormatting sqref="A1:AB39">
    <cfRule type="expression" dxfId="0" priority="2">
      <formula>AND(LEN($A1)=0,LEN($R1)&gt;0)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9A15DA84-13BC-4C50-BC7F-007910304489}">
          <x14:formula1>
            <xm:f>'Column Values'!$A:$A</xm:f>
          </x14:formula1>
          <xm:sqref>T1:T39</xm:sqref>
        </x14:dataValidation>
        <x14:dataValidation type="list" allowBlank="1" showInputMessage="1" showErrorMessage="1" xr:uid="{D767B547-2226-42C2-89A4-6A953E97C872}">
          <x14:formula1>
            <xm:f>'Column Values'!$B:$B</xm:f>
          </x14:formula1>
          <xm:sqref>Y1:Y39</xm:sqref>
        </x14:dataValidation>
        <x14:dataValidation type="list" allowBlank="1" showInputMessage="1" showErrorMessage="1" xr:uid="{09C9BDCE-0E86-4CF2-B364-52BA6C0AE654}">
          <x14:formula1>
            <xm:f>'Column Values'!$C:$C</xm:f>
          </x14:formula1>
          <xm:sqref>Z1:Z39</xm:sqref>
        </x14:dataValidation>
        <x14:dataValidation type="list" allowBlank="1" showInputMessage="1" showErrorMessage="1" xr:uid="{1AA64D38-DEDD-4E76-87D0-1DD8FC328A4C}">
          <x14:formula1>
            <xm:f>'Column Values'!$D:$D</xm:f>
          </x14:formula1>
          <xm:sqref>AA1:AA39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zoomScaleNormal="100" workbookViewId="0"/>
  </sheetViews>
  <sheetFormatPr defaultColWidth="10.83203125" defaultRowHeight="15.5" x14ac:dyDescent="0.35"/>
  <cols>
    <col min="1" max="1" width="12" style="2" customWidth="1"/>
    <col min="2" max="2" width="26.1640625" style="2" bestFit="1" customWidth="1"/>
    <col min="3" max="3" width="111.1640625" style="2" customWidth="1"/>
    <col min="4" max="16384" width="10.83203125" style="1"/>
  </cols>
  <sheetData>
    <row r="1" spans="1:3" x14ac:dyDescent="0.35">
      <c r="A1" s="13" t="s">
        <v>166</v>
      </c>
      <c r="B1" s="12" t="s">
        <v>165</v>
      </c>
      <c r="C1" s="11" t="s">
        <v>164</v>
      </c>
    </row>
    <row r="2" spans="1:3" ht="31" x14ac:dyDescent="0.35">
      <c r="A2" s="9" t="s">
        <v>36</v>
      </c>
      <c r="B2" s="8" t="s">
        <v>172</v>
      </c>
      <c r="C2" s="7" t="s">
        <v>203</v>
      </c>
    </row>
    <row r="3" spans="1:3" x14ac:dyDescent="0.35">
      <c r="A3" s="9" t="s">
        <v>146</v>
      </c>
      <c r="B3" s="8" t="s">
        <v>163</v>
      </c>
      <c r="C3" s="7" t="s">
        <v>179</v>
      </c>
    </row>
    <row r="4" spans="1:3" x14ac:dyDescent="0.35">
      <c r="A4" s="9" t="s">
        <v>139</v>
      </c>
      <c r="B4" s="8" t="s">
        <v>0</v>
      </c>
      <c r="C4" s="10" t="s">
        <v>180</v>
      </c>
    </row>
    <row r="5" spans="1:3" ht="93" x14ac:dyDescent="0.35">
      <c r="A5" s="9" t="s">
        <v>181</v>
      </c>
      <c r="B5" s="8" t="s">
        <v>182</v>
      </c>
      <c r="C5" s="10" t="s">
        <v>183</v>
      </c>
    </row>
    <row r="6" spans="1:3" ht="31" x14ac:dyDescent="0.35">
      <c r="A6" s="9" t="s">
        <v>144</v>
      </c>
      <c r="B6" s="8" t="s">
        <v>202</v>
      </c>
      <c r="C6" s="10" t="s">
        <v>244</v>
      </c>
    </row>
    <row r="7" spans="1:3" x14ac:dyDescent="0.35">
      <c r="A7" s="9" t="s">
        <v>154</v>
      </c>
      <c r="B7" s="8" t="s">
        <v>16</v>
      </c>
      <c r="C7" s="10" t="s">
        <v>184</v>
      </c>
    </row>
    <row r="8" spans="1:3" x14ac:dyDescent="0.35">
      <c r="A8" s="9" t="s">
        <v>162</v>
      </c>
      <c r="B8" s="8" t="s">
        <v>17</v>
      </c>
      <c r="C8" s="10" t="s">
        <v>185</v>
      </c>
    </row>
    <row r="9" spans="1:3" x14ac:dyDescent="0.35">
      <c r="A9" s="9" t="s">
        <v>145</v>
      </c>
      <c r="B9" s="8" t="s">
        <v>18</v>
      </c>
      <c r="C9" s="10" t="s">
        <v>186</v>
      </c>
    </row>
    <row r="10" spans="1:3" x14ac:dyDescent="0.35">
      <c r="A10" s="9" t="s">
        <v>153</v>
      </c>
      <c r="B10" s="8" t="s">
        <v>19</v>
      </c>
      <c r="C10" s="10" t="s">
        <v>187</v>
      </c>
    </row>
    <row r="11" spans="1:3" ht="31" x14ac:dyDescent="0.35">
      <c r="A11" s="9" t="s">
        <v>161</v>
      </c>
      <c r="B11" s="8" t="s">
        <v>20</v>
      </c>
      <c r="C11" s="10" t="s">
        <v>195</v>
      </c>
    </row>
    <row r="12" spans="1:3" ht="77.5" x14ac:dyDescent="0.35">
      <c r="A12" s="9" t="s">
        <v>155</v>
      </c>
      <c r="B12" s="8" t="s">
        <v>21</v>
      </c>
      <c r="C12" s="7" t="s">
        <v>188</v>
      </c>
    </row>
    <row r="13" spans="1:3" ht="217" x14ac:dyDescent="0.35">
      <c r="A13" s="28" t="s">
        <v>160</v>
      </c>
      <c r="B13" s="8" t="s">
        <v>191</v>
      </c>
      <c r="C13" s="7" t="s">
        <v>189</v>
      </c>
    </row>
    <row r="14" spans="1:3" ht="248.5" thickBot="1" x14ac:dyDescent="0.4">
      <c r="A14" s="6" t="s">
        <v>134</v>
      </c>
      <c r="B14" s="29" t="s">
        <v>159</v>
      </c>
      <c r="C14" s="30" t="s">
        <v>190</v>
      </c>
    </row>
    <row r="15" spans="1:3" ht="16" thickBot="1" x14ac:dyDescent="0.4">
      <c r="A15" s="6" t="s">
        <v>204</v>
      </c>
      <c r="B15" s="6" t="s">
        <v>173</v>
      </c>
      <c r="C15" s="5" t="s">
        <v>243</v>
      </c>
    </row>
    <row r="16" spans="1:3" x14ac:dyDescent="0.35">
      <c r="B16" s="3"/>
      <c r="C16" s="4"/>
    </row>
    <row r="17" spans="3:4" ht="31" x14ac:dyDescent="0.35">
      <c r="C17" s="31" t="s">
        <v>158</v>
      </c>
    </row>
    <row r="19" spans="3:4" ht="37" customHeight="1" x14ac:dyDescent="0.35"/>
    <row r="28" spans="3:4" ht="327" customHeight="1" x14ac:dyDescent="0.35"/>
    <row r="30" spans="3:4" ht="16" customHeight="1" x14ac:dyDescent="0.35">
      <c r="D30" s="3"/>
    </row>
  </sheetData>
  <hyperlinks>
    <hyperlink ref="C17" r:id="rId1" xr:uid="{F9147D3B-CF5A-A346-A0A7-D7330816C68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F6F2-A839-9F4A-A131-E7A3A2886178}">
  <dimension ref="A1:D24"/>
  <sheetViews>
    <sheetView workbookViewId="0"/>
  </sheetViews>
  <sheetFormatPr defaultColWidth="10.6640625" defaultRowHeight="15.5" x14ac:dyDescent="0.35"/>
  <cols>
    <col min="1" max="1" width="10.83203125" customWidth="1"/>
    <col min="2" max="2" width="22.5" customWidth="1"/>
    <col min="3" max="3" width="23.83203125" customWidth="1"/>
    <col min="4" max="4" width="22.83203125" customWidth="1"/>
  </cols>
  <sheetData>
    <row r="1" spans="1:4" ht="62" x14ac:dyDescent="0.35">
      <c r="A1" s="19" t="s">
        <v>16</v>
      </c>
      <c r="B1" s="19" t="s">
        <v>21</v>
      </c>
      <c r="C1" s="19" t="s">
        <v>191</v>
      </c>
      <c r="D1" s="19" t="s">
        <v>22</v>
      </c>
    </row>
    <row r="2" spans="1:4" x14ac:dyDescent="0.35">
      <c r="A2" s="18" t="s">
        <v>23</v>
      </c>
      <c r="B2" s="18" t="s">
        <v>27</v>
      </c>
      <c r="C2" s="18" t="s">
        <v>25</v>
      </c>
      <c r="D2" s="18" t="s">
        <v>167</v>
      </c>
    </row>
    <row r="3" spans="1:4" x14ac:dyDescent="0.35">
      <c r="A3" s="18" t="s">
        <v>36</v>
      </c>
      <c r="B3" s="18" t="s">
        <v>24</v>
      </c>
      <c r="C3" t="s">
        <v>156</v>
      </c>
      <c r="D3" s="18" t="s">
        <v>26</v>
      </c>
    </row>
    <row r="4" spans="1:4" x14ac:dyDescent="0.35">
      <c r="B4" s="18" t="s">
        <v>28</v>
      </c>
      <c r="C4" s="18" t="s">
        <v>140</v>
      </c>
      <c r="D4" s="18" t="s">
        <v>34</v>
      </c>
    </row>
    <row r="5" spans="1:4" x14ac:dyDescent="0.35">
      <c r="B5" s="18" t="s">
        <v>35</v>
      </c>
      <c r="C5" s="18" t="s">
        <v>126</v>
      </c>
      <c r="D5" t="s">
        <v>170</v>
      </c>
    </row>
    <row r="6" spans="1:4" x14ac:dyDescent="0.35">
      <c r="B6" s="18" t="s">
        <v>248</v>
      </c>
      <c r="C6" t="s">
        <v>130</v>
      </c>
      <c r="D6" t="s">
        <v>171</v>
      </c>
    </row>
    <row r="7" spans="1:4" x14ac:dyDescent="0.35">
      <c r="C7" s="18" t="s">
        <v>125</v>
      </c>
      <c r="D7" s="18" t="s">
        <v>152</v>
      </c>
    </row>
    <row r="8" spans="1:4" x14ac:dyDescent="0.35">
      <c r="C8" s="18" t="s">
        <v>128</v>
      </c>
      <c r="D8" s="18" t="s">
        <v>136</v>
      </c>
    </row>
    <row r="9" spans="1:4" x14ac:dyDescent="0.35">
      <c r="C9" t="s">
        <v>147</v>
      </c>
      <c r="D9" s="18" t="s">
        <v>247</v>
      </c>
    </row>
    <row r="10" spans="1:4" x14ac:dyDescent="0.35">
      <c r="C10" t="s">
        <v>157</v>
      </c>
      <c r="D10" s="18" t="s">
        <v>127</v>
      </c>
    </row>
    <row r="11" spans="1:4" x14ac:dyDescent="0.35">
      <c r="C11" s="18" t="s">
        <v>149</v>
      </c>
      <c r="D11" s="18" t="s">
        <v>142</v>
      </c>
    </row>
    <row r="12" spans="1:4" x14ac:dyDescent="0.35">
      <c r="C12" s="18" t="s">
        <v>138</v>
      </c>
      <c r="D12" s="18" t="s">
        <v>135</v>
      </c>
    </row>
    <row r="13" spans="1:4" x14ac:dyDescent="0.35">
      <c r="C13" s="18" t="s">
        <v>148</v>
      </c>
      <c r="D13" s="18" t="s">
        <v>129</v>
      </c>
    </row>
    <row r="14" spans="1:4" x14ac:dyDescent="0.35">
      <c r="C14" s="18" t="s">
        <v>174</v>
      </c>
      <c r="D14" s="18" t="s">
        <v>131</v>
      </c>
    </row>
    <row r="15" spans="1:4" x14ac:dyDescent="0.35">
      <c r="D15" s="18" t="s">
        <v>150</v>
      </c>
    </row>
    <row r="16" spans="1:4" x14ac:dyDescent="0.35">
      <c r="D16" s="18" t="s">
        <v>132</v>
      </c>
    </row>
    <row r="17" spans="4:4" x14ac:dyDescent="0.35">
      <c r="D17" s="18" t="s">
        <v>141</v>
      </c>
    </row>
    <row r="18" spans="4:4" x14ac:dyDescent="0.35">
      <c r="D18" s="18" t="s">
        <v>143</v>
      </c>
    </row>
    <row r="19" spans="4:4" x14ac:dyDescent="0.35">
      <c r="D19" s="18" t="s">
        <v>133</v>
      </c>
    </row>
    <row r="20" spans="4:4" x14ac:dyDescent="0.35">
      <c r="D20" s="18" t="s">
        <v>137</v>
      </c>
    </row>
    <row r="21" spans="4:4" x14ac:dyDescent="0.35">
      <c r="D21" s="18" t="s">
        <v>151</v>
      </c>
    </row>
    <row r="22" spans="4:4" x14ac:dyDescent="0.35">
      <c r="D22" s="18" t="s">
        <v>169</v>
      </c>
    </row>
    <row r="23" spans="4:4" x14ac:dyDescent="0.35">
      <c r="D23" s="18" t="s">
        <v>31</v>
      </c>
    </row>
    <row r="24" spans="4:4" x14ac:dyDescent="0.35">
      <c r="D24" s="18" t="s">
        <v>168</v>
      </c>
    </row>
  </sheetData>
  <sortState xmlns:xlrd2="http://schemas.microsoft.com/office/spreadsheetml/2017/richdata2" ref="C3:C13">
    <sortCondition ref="C3:C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VMR MSL40</vt:lpstr>
      <vt:lpstr>Column definitions</vt:lpstr>
      <vt:lpstr>Column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Smith</dc:creator>
  <cp:lastModifiedBy>Carson Miller</cp:lastModifiedBy>
  <dcterms:created xsi:type="dcterms:W3CDTF">2023-09-13T21:19:40Z</dcterms:created>
  <dcterms:modified xsi:type="dcterms:W3CDTF">2025-11-12T00:01:23Z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7542bc-63e5-412b-b0a0-d9586028a7d0_Enabled">
    <vt:lpwstr>true</vt:lpwstr>
  </property>
  <property fmtid="{D5CDD505-2E9C-101B-9397-08002B2CF9AE}" pid="3" name="MSIP_Label_ae7542bc-63e5-412b-b0a0-d9586028a7d0_SetDate">
    <vt:lpwstr>2025-09-29T21:56:42Z</vt:lpwstr>
  </property>
  <property fmtid="{D5CDD505-2E9C-101B-9397-08002B2CF9AE}" pid="4" name="MSIP_Label_ae7542bc-63e5-412b-b0a0-d9586028a7d0_Method">
    <vt:lpwstr>Standard</vt:lpwstr>
  </property>
  <property fmtid="{D5CDD505-2E9C-101B-9397-08002B2CF9AE}" pid="5" name="MSIP_Label_ae7542bc-63e5-412b-b0a0-d9586028a7d0_Name">
    <vt:lpwstr>Sensitive</vt:lpwstr>
  </property>
  <property fmtid="{D5CDD505-2E9C-101B-9397-08002B2CF9AE}" pid="6" name="MSIP_Label_ae7542bc-63e5-412b-b0a0-d9586028a7d0_SiteId">
    <vt:lpwstr>d8999fe4-76af-40b3-b435-1d8977abc08c</vt:lpwstr>
  </property>
  <property fmtid="{D5CDD505-2E9C-101B-9397-08002B2CF9AE}" pid="7" name="MSIP_Label_ae7542bc-63e5-412b-b0a0-d9586028a7d0_ActionId">
    <vt:lpwstr>3b5c7790-18c7-4a6c-b6de-cb1573266195</vt:lpwstr>
  </property>
  <property fmtid="{D5CDD505-2E9C-101B-9397-08002B2CF9AE}" pid="8" name="MSIP_Label_ae7542bc-63e5-412b-b0a0-d9586028a7d0_ContentBits">
    <vt:lpwstr>0</vt:lpwstr>
  </property>
  <property fmtid="{D5CDD505-2E9C-101B-9397-08002B2CF9AE}" pid="9" name="MSIP_Label_ae7542bc-63e5-412b-b0a0-d9586028a7d0_Tag">
    <vt:lpwstr>50, 3, 0, 1</vt:lpwstr>
  </property>
</Properties>
</file>